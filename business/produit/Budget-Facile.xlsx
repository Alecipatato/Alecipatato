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ode d'emploi" sheetId="1" state="visible" r:id="rId3"/>
    <sheet name="Budget du mois" sheetId="2" state="visible" r:id="rId4"/>
    <sheet name="Dépenses" sheetId="3" state="visible" r:id="rId5"/>
    <sheet name="Dettes" sheetId="4" state="visible" r:id="rId6"/>
    <sheet name="Défi 52 semain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<sst xmlns="http://schemas.openxmlformats.org/spreadsheetml/2006/main" count="108" uniqueCount="84">
  <si>
    <t xml:space="preserve">Budget Facile 💸</t>
  </si>
  <si>
    <t xml:space="preserve">Ton tableau de budget automatique — 10 minutes par semaine</t>
  </si>
  <si>
    <t xml:space="preserve">Comment ça marche ?</t>
  </si>
  <si>
    <t xml:space="preserve">1. Onglet « Budget du mois » : entre tes revenus et ton budget prévu par catégorie.</t>
  </si>
  <si>
    <t xml:space="preserve">2. Onglet « Dépenses » : note chaque dépense (date, description, catégorie, montant).</t>
  </si>
  <si>
    <t xml:space="preserve">3. Tout le reste se calcule tout seul : total dépensé, reste à vivre, graphique.</t>
  </si>
  <si>
    <t xml:space="preserve">4. Onglet « Dettes » : vois combien de mois il te reste avant d'être libre.</t>
  </si>
  <si>
    <t xml:space="preserve">5. Onglet « Défi 52 semaines » : coche chaque semaine, regarde ton épargne grandir.</t>
  </si>
  <si>
    <t xml:space="preserve">Légende</t>
  </si>
  <si>
    <t xml:space="preserve">Cellules jaunes = à remplir par toi. Cellules blanches = calcul automatique (ne pas toucher).</t>
  </si>
  <si>
    <t xml:space="preserve">Les lignes déjà remplies sont des exemples : remplace-les par tes propres chiffres.</t>
  </si>
  <si>
    <t xml:space="preserve">Exemple</t>
  </si>
  <si>
    <t xml:space="preserve">← cellule à remplir</t>
  </si>
  <si>
    <t xml:space="preserve">Mon budget du mois</t>
  </si>
  <si>
    <t xml:space="preserve">Remplis les cases jaunes, tout le reste est automatique</t>
  </si>
  <si>
    <t xml:space="preserve">Revenus</t>
  </si>
  <si>
    <t xml:space="preserve">Source</t>
  </si>
  <si>
    <t xml:space="preserve">Montant (€)</t>
  </si>
  <si>
    <t xml:space="preserve">Salaire</t>
  </si>
  <si>
    <t xml:space="preserve">Aides / allocations</t>
  </si>
  <si>
    <t xml:space="preserve">Revenus complémentaires</t>
  </si>
  <si>
    <t xml:space="preserve">Total revenus</t>
  </si>
  <si>
    <t xml:space="preserve">Dépenses par catégorie</t>
  </si>
  <si>
    <t xml:space="preserve">Catégorie</t>
  </si>
  <si>
    <t xml:space="preserve">Prévu (€)</t>
  </si>
  <si>
    <t xml:space="preserve">Réel (€)</t>
  </si>
  <si>
    <t xml:space="preserve">Reste (€)</t>
  </si>
  <si>
    <t xml:space="preserve">% utilisé</t>
  </si>
  <si>
    <t xml:space="preserve">Logement</t>
  </si>
  <si>
    <t xml:space="preserve">Courses</t>
  </si>
  <si>
    <t xml:space="preserve">Transport</t>
  </si>
  <si>
    <t xml:space="preserve">Abonnements</t>
  </si>
  <si>
    <t xml:space="preserve">Sorties &amp; loisirs</t>
  </si>
  <si>
    <t xml:space="preserve">Shopping</t>
  </si>
  <si>
    <t xml:space="preserve">Santé</t>
  </si>
  <si>
    <t xml:space="preserve">Épargne</t>
  </si>
  <si>
    <t xml:space="preserve">Autre</t>
  </si>
  <si>
    <t xml:space="preserve">Total</t>
  </si>
  <si>
    <t xml:space="preserve">Résumé</t>
  </si>
  <si>
    <t xml:space="preserve">Total dépensé</t>
  </si>
  <si>
    <t xml:space="preserve">💰 Reste à vivre</t>
  </si>
  <si>
    <t xml:space="preserve">Taux d'épargne</t>
  </si>
  <si>
    <t xml:space="preserve">Journal des dépenses</t>
  </si>
  <si>
    <t xml:space="preserve">Note chaque dépense ici — la catégorie se choisit dans une liste</t>
  </si>
  <si>
    <t xml:space="preserve">Date</t>
  </si>
  <si>
    <t xml:space="preserve">Description</t>
  </si>
  <si>
    <t xml:space="preserve">Loyer</t>
  </si>
  <si>
    <t xml:space="preserve">Supermarché</t>
  </si>
  <si>
    <t xml:space="preserve">Pass Navigo</t>
  </si>
  <si>
    <t xml:space="preserve">Netflix</t>
  </si>
  <si>
    <t xml:space="preserve">Spotify</t>
  </si>
  <si>
    <t xml:space="preserve">Resto avec amis</t>
  </si>
  <si>
    <t xml:space="preserve">Marché</t>
  </si>
  <si>
    <t xml:space="preserve">Pharmacie</t>
  </si>
  <si>
    <t xml:space="preserve">Baskets</t>
  </si>
  <si>
    <t xml:space="preserve">Virement épargne</t>
  </si>
  <si>
    <t xml:space="preserve">Essence</t>
  </si>
  <si>
    <t xml:space="preserve">Cinéma</t>
  </si>
  <si>
    <t xml:space="preserve">Forfait mobile</t>
  </si>
  <si>
    <t xml:space="preserve">Plan anti-dettes</t>
  </si>
  <si>
    <t xml:space="preserve">Vois en combien de mois tu seras libéré(e)</t>
  </si>
  <si>
    <t xml:space="preserve">Crédit</t>
  </si>
  <si>
    <t xml:space="preserve">Reste à payer (€)</t>
  </si>
  <si>
    <t xml:space="preserve">Taux annuel</t>
  </si>
  <si>
    <t xml:space="preserve">Mensualité (€)</t>
  </si>
  <si>
    <t xml:space="preserve">Mois restants</t>
  </si>
  <si>
    <t xml:space="preserve">Intérêts estimés (€)</t>
  </si>
  <si>
    <t xml:space="preserve">Crédit auto</t>
  </si>
  <si>
    <t xml:space="preserve">Carte de crédit</t>
  </si>
  <si>
    <t xml:space="preserve">Prêt étudiant</t>
  </si>
  <si>
    <t xml:space="preserve">🎉 Libre de toute dette dans :</t>
  </si>
  <si>
    <t xml:space="preserve">Astuce : rembourse d'abord le crédit au taux le plus élevé (méthode « avalanche »).</t>
  </si>
  <si>
    <t xml:space="preserve">Défi épargne 52 semaines</t>
  </si>
  <si>
    <t xml:space="preserve">Semaine 1 : 1 €, semaine 2 : 2 €… jusqu'à 52 €. Mets « x » quand c'est fait !</t>
  </si>
  <si>
    <t xml:space="preserve">Semaine</t>
  </si>
  <si>
    <t xml:space="preserve">À épargner (€)</t>
  </si>
  <si>
    <t xml:space="preserve">Fait ? (x)</t>
  </si>
  <si>
    <t xml:space="preserve">Cumul épargné (€)</t>
  </si>
  <si>
    <t xml:space="preserve">x</t>
  </si>
  <si>
    <t xml:space="preserve">Montant de base (€)</t>
  </si>
  <si>
    <t xml:space="preserve">Objectif total</t>
  </si>
  <si>
    <t xml:space="preserve">Déjà épargné</t>
  </si>
  <si>
    <t xml:space="preserve">Progression</t>
  </si>
  <si>
    <t xml:space="preserve">Change le montant de base (ex. 2 €) pour doubler ton objectif.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</si>
</sst>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&quot; €&quot;;\-#,##0.00&quot; €&quot;;\-"/>
    <numFmt numFmtId="166" formatCode="0%"/>
    <numFmt numFmtId="167" formatCode="0.0%"/>
    <numFmt numFmtId="168" formatCode="dd/mm/yyyy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D1B2F"/>
      <name val="Arial"/>
      <family val="0"/>
      <charset val="1"/>
    </font>
    <font>
      <i val="true"/>
      <sz val="10"/>
      <color rgb="FF5B5872"/>
      <name val="Arial"/>
      <family val="0"/>
      <charset val="1"/>
    </font>
    <font>
      <b val="true"/>
      <sz val="13"/>
      <color rgb="FF16A34A"/>
      <name val="Arial"/>
      <family val="0"/>
      <charset val="1"/>
    </font>
    <font>
      <sz val="11"/>
      <color rgb="FF1D1B2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3"/>
      <name val="Arial"/>
      <family val="0"/>
      <charset val="1"/>
    </font>
    <font>
      <i val="true"/>
      <sz val="11"/>
      <color rgb="FF5B587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7CC"/>
        <bgColor rgb="FFF3F4F6"/>
      </patternFill>
    </fill>
    <fill>
      <patternFill patternType="solid">
        <fgColor rgb="FF16A34A"/>
        <bgColor rgb="FF008080"/>
      </patternFill>
    </fill>
    <fill>
      <patternFill patternType="solid">
        <fgColor rgb="FFDCFCE7"/>
        <bgColor rgb="FFF3F4F6"/>
      </patternFill>
    </fill>
    <fill>
      <patternFill patternType="solid">
        <fgColor rgb="FFF3F4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DC2626"/>
      </font>
      <fill>
        <patternFill>
          <bgColor rgb="FFFEE2E2"/>
        </patternFill>
      </fill>
    </dxf>
    <dxf>
      <fill>
        <patternFill>
          <bgColor rgb="FFDCFCE7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B8CD97"/>
      <rgbColor rgb="FF878787"/>
      <rgbColor rgb="FF93A9CE"/>
      <rgbColor rgb="FFAB4744"/>
      <rgbColor rgb="FFFFF7CC"/>
      <rgbColor rgb="FFDCFCE7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E5E7EB"/>
      <rgbColor rgb="FFFFFF99"/>
      <rgbColor rgb="FF99CCFF"/>
      <rgbColor rgb="FFD09493"/>
      <rgbColor rgb="FFCC99FF"/>
      <rgbColor rgb="FFFEE2E2"/>
      <rgbColor rgb="FF4672A8"/>
      <rgbColor rgb="FF4299B0"/>
      <rgbColor rgb="FF99CC00"/>
      <rgbColor rgb="FFFFCC00"/>
      <rgbColor rgb="FFFF9900"/>
      <rgbColor rgb="FFFF6600"/>
      <rgbColor rgb="FF725990"/>
      <rgbColor rgb="FF8AA64F"/>
      <rgbColor rgb="FF003366"/>
      <rgbColor rgb="FF16A34A"/>
      <rgbColor rgb="FF003300"/>
      <rgbColor rgb="FF333300"/>
      <rgbColor rgb="FF993300"/>
      <rgbColor rgb="FFC0504D"/>
      <rgbColor rgb="FF5B5872"/>
      <rgbColor rgb="FF1D1B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Où passe mon argent ?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'Budget du mois'!C12</c:f>
              <c:strCache>
                <c:ptCount val="1"/>
                <c:pt idx="0">
                  <c:v>Réel (€)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'Budget du mois'!$A$13:$A$21</c:f>
              <c:strCache>
                <c:ptCount val="9"/>
                <c:pt idx="0">
                  <c:v>Logement</c:v>
                </c:pt>
                <c:pt idx="1">
                  <c:v>Courses</c:v>
                </c:pt>
                <c:pt idx="2">
                  <c:v>Transport</c:v>
                </c:pt>
                <c:pt idx="3">
                  <c:v>Abonnements</c:v>
                </c:pt>
                <c:pt idx="4">
                  <c:v>Sorties &amp; loisirs</c:v>
                </c:pt>
                <c:pt idx="5">
                  <c:v>Shopping</c:v>
                </c:pt>
                <c:pt idx="6">
                  <c:v>Santé</c:v>
                </c:pt>
                <c:pt idx="7">
                  <c:v>Épargne</c:v>
                </c:pt>
                <c:pt idx="8">
                  <c:v>Autre</c:v>
                </c:pt>
              </c:strCache>
            </c:strRef>
          </c:cat>
          <c:val>
            <c:numRef>
              <c:f>'Budget du mois'!$C$13:$C$21</c:f>
              <c:numCache>
                <c:formatCode>#,##0.00" €";\-#,##0.00" €";\-</c:formatCode>
                <c:ptCount val="9"/>
                <c:pt idx="0">
                  <c:v>650</c:v>
                </c:pt>
                <c:pt idx="1">
                  <c:v>174.1</c:v>
                </c:pt>
                <c:pt idx="2">
                  <c:v>131.4</c:v>
                </c:pt>
                <c:pt idx="3">
                  <c:v>44.47</c:v>
                </c:pt>
                <c:pt idx="4">
                  <c:v>46.5</c:v>
                </c:pt>
                <c:pt idx="5">
                  <c:v>79.99</c:v>
                </c:pt>
                <c:pt idx="6">
                  <c:v>12.8</c:v>
                </c:pt>
                <c:pt idx="7">
                  <c:v>150</c:v>
                </c:pt>
                <c:pt idx="8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Prévu vs Réel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'Budget du mois'!B12</c:f>
              <c:strCache>
                <c:ptCount val="1"/>
                <c:pt idx="0">
                  <c:v>Prévu (€)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'Budget du mois'!$A$13:$A$21</c:f>
              <c:strCache>
                <c:ptCount val="9"/>
                <c:pt idx="0">
                  <c:v>Logement</c:v>
                </c:pt>
                <c:pt idx="1">
                  <c:v>Courses</c:v>
                </c:pt>
                <c:pt idx="2">
                  <c:v>Transport</c:v>
                </c:pt>
                <c:pt idx="3">
                  <c:v>Abonnements</c:v>
                </c:pt>
                <c:pt idx="4">
                  <c:v>Sorties &amp; loisirs</c:v>
                </c:pt>
                <c:pt idx="5">
                  <c:v>Shopping</c:v>
                </c:pt>
                <c:pt idx="6">
                  <c:v>Santé</c:v>
                </c:pt>
                <c:pt idx="7">
                  <c:v>Épargne</c:v>
                </c:pt>
                <c:pt idx="8">
                  <c:v>Autre</c:v>
                </c:pt>
              </c:strCache>
            </c:strRef>
          </c:cat>
          <c:val>
            <c:numRef>
              <c:f>'Budget du mois'!$B$13:$B$21</c:f>
              <c:numCache>
                <c:formatCode>#,##0.00" €";\-#,##0.00" €";\-</c:formatCode>
                <c:ptCount val="9"/>
                <c:pt idx="0">
                  <c:v>700</c:v>
                </c:pt>
                <c:pt idx="1">
                  <c:v>300</c:v>
                </c:pt>
                <c:pt idx="2">
                  <c:v>140</c:v>
                </c:pt>
                <c:pt idx="3">
                  <c:v>45</c:v>
                </c:pt>
                <c:pt idx="4">
                  <c:v>100</c:v>
                </c:pt>
                <c:pt idx="5">
                  <c:v>80</c:v>
                </c:pt>
                <c:pt idx="6">
                  <c:v>30</c:v>
                </c:pt>
                <c:pt idx="7">
                  <c:v>150</c:v>
                </c:pt>
                <c:pt idx="8">
                  <c:v>50</c:v>
                </c:pt>
              </c:numCache>
            </c:numRef>
          </c:val>
        </c:ser>
        <c:ser>
          <c:idx val="1"/>
          <c:order val="1"/>
          <c:tx>
            <c:strRef>
              <c:f>'Budget du mois'!C12</c:f>
              <c:strCache>
                <c:ptCount val="1"/>
                <c:pt idx="0">
                  <c:v>Réel (€)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'Budget du mois'!$A$13:$A$21</c:f>
              <c:strCache>
                <c:ptCount val="9"/>
                <c:pt idx="0">
                  <c:v>Logement</c:v>
                </c:pt>
                <c:pt idx="1">
                  <c:v>Courses</c:v>
                </c:pt>
                <c:pt idx="2">
                  <c:v>Transport</c:v>
                </c:pt>
                <c:pt idx="3">
                  <c:v>Abonnements</c:v>
                </c:pt>
                <c:pt idx="4">
                  <c:v>Sorties &amp; loisirs</c:v>
                </c:pt>
                <c:pt idx="5">
                  <c:v>Shopping</c:v>
                </c:pt>
                <c:pt idx="6">
                  <c:v>Santé</c:v>
                </c:pt>
                <c:pt idx="7">
                  <c:v>Épargne</c:v>
                </c:pt>
                <c:pt idx="8">
                  <c:v>Autre</c:v>
                </c:pt>
              </c:strCache>
            </c:strRef>
          </c:cat>
          <c:val>
            <c:numRef>
              <c:f>'Budget du mois'!$C$13:$C$21</c:f>
              <c:numCache>
                <c:formatCode>#,##0.00" €";\-#,##0.00" €";\-</c:formatCode>
                <c:ptCount val="9"/>
                <c:pt idx="0">
                  <c:v>650</c:v>
                </c:pt>
                <c:pt idx="1">
                  <c:v>174.1</c:v>
                </c:pt>
                <c:pt idx="2">
                  <c:v>131.4</c:v>
                </c:pt>
                <c:pt idx="3">
                  <c:v>44.47</c:v>
                </c:pt>
                <c:pt idx="4">
                  <c:v>46.5</c:v>
                </c:pt>
                <c:pt idx="5">
                  <c:v>79.99</c:v>
                </c:pt>
                <c:pt idx="6">
                  <c:v>12.8</c:v>
                </c:pt>
                <c:pt idx="7">
                  <c:v>150</c:v>
                </c:pt>
                <c:pt idx="8">
                  <c:v>0</c:v>
                </c:pt>
              </c:numCache>
            </c:numRef>
          </c:val>
        </c:ser>
        <c:gapWidth val="150"/>
        <c:overlap val="0"/>
        <c:axId val="93980990"/>
        <c:axId val="13695831"/>
      </c:barChart>
      <c:catAx>
        <c:axId val="939809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695831"/>
        <c:crosses val="autoZero"/>
        <c:auto val="1"/>
        <c:lblAlgn val="ctr"/>
        <c:lblOffset val="100"/>
        <c:noMultiLvlLbl val="0"/>
      </c:catAx>
      <c:valAx>
        <c:axId val="136958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;\-#,##0.00&quot; €&quot;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9809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70560</xdr:rowOff>
    </xdr:from>
    <xdr:to>
      <xdr:col>13</xdr:col>
      <xdr:colOff>399240</xdr:colOff>
      <xdr:row>19</xdr:row>
      <xdr:rowOff>42480</xdr:rowOff>
    </xdr:to>
    <xdr:graphicFrame>
      <xdr:nvGraphicFramePr>
        <xdr:cNvPr id="0" name="Chart 1"/>
        <xdr:cNvGraphicFramePr/>
      </xdr:nvGraphicFramePr>
      <xdr:xfrm>
        <a:off x="6673320" y="571680"/>
        <a:ext cx="46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21</xdr:row>
      <xdr:rowOff>41400</xdr:rowOff>
    </xdr:from>
    <xdr:to>
      <xdr:col>13</xdr:col>
      <xdr:colOff>399240</xdr:colOff>
      <xdr:row>37</xdr:row>
      <xdr:rowOff>159840</xdr:rowOff>
    </xdr:to>
    <xdr:graphicFrame>
      <xdr:nvGraphicFramePr>
        <xdr:cNvPr id="1" name="Chart 2"/>
        <xdr:cNvGraphicFramePr/>
      </xdr:nvGraphicFramePr>
      <xdr:xfrm>
        <a:off x="6673320" y="4191120"/>
        <a:ext cx="46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A34A"/>
    <pageSetUpPr fitToPage="fals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</cols>
  <sheetData>
    <row r="1" customFormat="false" ht="24.4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6.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0" customFormat="false" ht="15" hidden="false" customHeight="false" outlineLevel="0" collapsed="false">
      <c r="A10" s="4"/>
    </row>
    <row r="11" customFormat="false" ht="16.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 t="s">
        <v>10</v>
      </c>
    </row>
    <row r="15" customFormat="false" ht="15" hidden="false" customHeight="false" outlineLevel="0" collapsed="false">
      <c r="A15" s="5" t="s">
        <v>11</v>
      </c>
      <c r="B15" s="6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A34A"/>
    <pageSetUpPr fitToPage="false"/>
  </sheetPr>
  <dimension ref="A1:E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6"/>
    <col collapsed="false" customWidth="true" hidden="false" outlineLevel="0" max="5" min="5" style="0" width="12"/>
  </cols>
  <sheetData>
    <row r="1" customFormat="false" ht="24.45" hidden="false" customHeight="false" outlineLevel="0" collapsed="false">
      <c r="A1" s="1" t="s">
        <v>13</v>
      </c>
    </row>
    <row r="2" customFormat="false" ht="15" hidden="false" customHeight="false" outlineLevel="0" collapsed="false">
      <c r="A2" s="2" t="s">
        <v>14</v>
      </c>
    </row>
    <row r="4" customFormat="false" ht="16.15" hidden="false" customHeight="false" outlineLevel="0" collapsed="false">
      <c r="A4" s="3" t="s">
        <v>15</v>
      </c>
    </row>
    <row r="5" customFormat="false" ht="15" hidden="false" customHeight="false" outlineLevel="0" collapsed="false">
      <c r="A5" s="7" t="s">
        <v>16</v>
      </c>
      <c r="B5" s="7" t="s">
        <v>17</v>
      </c>
    </row>
    <row r="6" customFormat="false" ht="15" hidden="false" customHeight="false" outlineLevel="0" collapsed="false">
      <c r="A6" s="5" t="s">
        <v>18</v>
      </c>
      <c r="B6" s="8" t="n">
        <v>1850</v>
      </c>
    </row>
    <row r="7" customFormat="false" ht="15" hidden="false" customHeight="false" outlineLevel="0" collapsed="false">
      <c r="A7" s="5" t="s">
        <v>19</v>
      </c>
      <c r="B7" s="8" t="n">
        <v>0</v>
      </c>
    </row>
    <row r="8" customFormat="false" ht="15" hidden="false" customHeight="false" outlineLevel="0" collapsed="false">
      <c r="A8" s="5" t="s">
        <v>20</v>
      </c>
      <c r="B8" s="8" t="n">
        <v>120</v>
      </c>
    </row>
    <row r="9" customFormat="false" ht="15" hidden="false" customHeight="false" outlineLevel="0" collapsed="false">
      <c r="A9" s="9" t="s">
        <v>21</v>
      </c>
      <c r="B9" s="10" t="n">
        <f aca="false">SUM(B6:B8)</f>
        <v>1970</v>
      </c>
    </row>
    <row r="11" customFormat="false" ht="16.15" hidden="false" customHeight="false" outlineLevel="0" collapsed="false">
      <c r="A11" s="3" t="s">
        <v>22</v>
      </c>
    </row>
    <row r="12" customFormat="false" ht="15" hidden="false" customHeight="false" outlineLevel="0" collapsed="false">
      <c r="A12" s="7" t="s">
        <v>23</v>
      </c>
      <c r="B12" s="7" t="s">
        <v>24</v>
      </c>
      <c r="C12" s="7" t="s">
        <v>25</v>
      </c>
      <c r="D12" s="7" t="s">
        <v>26</v>
      </c>
      <c r="E12" s="7" t="s">
        <v>27</v>
      </c>
    </row>
    <row r="13" customFormat="false" ht="15" hidden="false" customHeight="false" outlineLevel="0" collapsed="false">
      <c r="A13" s="11" t="s">
        <v>28</v>
      </c>
      <c r="B13" s="8" t="n">
        <v>700</v>
      </c>
      <c r="C13" s="12" t="n">
        <f aca="false">SUMIFS(Dépenses!$D$5:$D$204,Dépenses!$C$5:$C$204,A13)</f>
        <v>650</v>
      </c>
      <c r="D13" s="12" t="n">
        <f aca="false">B13-C13</f>
        <v>50</v>
      </c>
      <c r="E13" s="13" t="n">
        <f aca="false">IF(B13=0,0,C13/B13)</f>
        <v>0.928571428571429</v>
      </c>
    </row>
    <row r="14" customFormat="false" ht="15" hidden="false" customHeight="false" outlineLevel="0" collapsed="false">
      <c r="A14" s="11" t="s">
        <v>29</v>
      </c>
      <c r="B14" s="8" t="n">
        <v>300</v>
      </c>
      <c r="C14" s="12" t="n">
        <f aca="false">SUMIFS(Dépenses!$D$5:$D$204,Dépenses!$C$5:$C$204,A14)</f>
        <v>174.1</v>
      </c>
      <c r="D14" s="12" t="n">
        <f aca="false">B14-C14</f>
        <v>125.9</v>
      </c>
      <c r="E14" s="13" t="n">
        <f aca="false">IF(B14=0,0,C14/B14)</f>
        <v>0.580333333333333</v>
      </c>
    </row>
    <row r="15" customFormat="false" ht="15" hidden="false" customHeight="false" outlineLevel="0" collapsed="false">
      <c r="A15" s="11" t="s">
        <v>30</v>
      </c>
      <c r="B15" s="8" t="n">
        <v>140</v>
      </c>
      <c r="C15" s="12" t="n">
        <f aca="false">SUMIFS(Dépenses!$D$5:$D$204,Dépenses!$C$5:$C$204,A15)</f>
        <v>131.4</v>
      </c>
      <c r="D15" s="12" t="n">
        <f aca="false">B15-C15</f>
        <v>8.59999999999999</v>
      </c>
      <c r="E15" s="13" t="n">
        <f aca="false">IF(B15=0,0,C15/B15)</f>
        <v>0.938571428571429</v>
      </c>
    </row>
    <row r="16" customFormat="false" ht="15" hidden="false" customHeight="false" outlineLevel="0" collapsed="false">
      <c r="A16" s="11" t="s">
        <v>31</v>
      </c>
      <c r="B16" s="8" t="n">
        <v>45</v>
      </c>
      <c r="C16" s="12" t="n">
        <f aca="false">SUMIFS(Dépenses!$D$5:$D$204,Dépenses!$C$5:$C$204,A16)</f>
        <v>44.47</v>
      </c>
      <c r="D16" s="12" t="n">
        <f aca="false">B16-C16</f>
        <v>0.530000000000001</v>
      </c>
      <c r="E16" s="13" t="n">
        <f aca="false">IF(B16=0,0,C16/B16)</f>
        <v>0.988222222222222</v>
      </c>
    </row>
    <row r="17" customFormat="false" ht="15" hidden="false" customHeight="false" outlineLevel="0" collapsed="false">
      <c r="A17" s="11" t="s">
        <v>32</v>
      </c>
      <c r="B17" s="8" t="n">
        <v>100</v>
      </c>
      <c r="C17" s="12" t="n">
        <f aca="false">SUMIFS(Dépenses!$D$5:$D$204,Dépenses!$C$5:$C$204,A17)</f>
        <v>46.5</v>
      </c>
      <c r="D17" s="12" t="n">
        <f aca="false">B17-C17</f>
        <v>53.5</v>
      </c>
      <c r="E17" s="13" t="n">
        <f aca="false">IF(B17=0,0,C17/B17)</f>
        <v>0.465</v>
      </c>
    </row>
    <row r="18" customFormat="false" ht="15" hidden="false" customHeight="false" outlineLevel="0" collapsed="false">
      <c r="A18" s="11" t="s">
        <v>33</v>
      </c>
      <c r="B18" s="8" t="n">
        <v>80</v>
      </c>
      <c r="C18" s="12" t="n">
        <f aca="false">SUMIFS(Dépenses!$D$5:$D$204,Dépenses!$C$5:$C$204,A18)</f>
        <v>79.99</v>
      </c>
      <c r="D18" s="12" t="n">
        <f aca="false">B18-C18</f>
        <v>0.0100000000000051</v>
      </c>
      <c r="E18" s="13" t="n">
        <f aca="false">IF(B18=0,0,C18/B18)</f>
        <v>0.999875</v>
      </c>
    </row>
    <row r="19" customFormat="false" ht="15" hidden="false" customHeight="false" outlineLevel="0" collapsed="false">
      <c r="A19" s="11" t="s">
        <v>34</v>
      </c>
      <c r="B19" s="8" t="n">
        <v>30</v>
      </c>
      <c r="C19" s="12" t="n">
        <f aca="false">SUMIFS(Dépenses!$D$5:$D$204,Dépenses!$C$5:$C$204,A19)</f>
        <v>12.8</v>
      </c>
      <c r="D19" s="12" t="n">
        <f aca="false">B19-C19</f>
        <v>17.2</v>
      </c>
      <c r="E19" s="13" t="n">
        <f aca="false">IF(B19=0,0,C19/B19)</f>
        <v>0.426666666666667</v>
      </c>
    </row>
    <row r="20" customFormat="false" ht="15" hidden="false" customHeight="false" outlineLevel="0" collapsed="false">
      <c r="A20" s="11" t="s">
        <v>35</v>
      </c>
      <c r="B20" s="8" t="n">
        <v>150</v>
      </c>
      <c r="C20" s="12" t="n">
        <f aca="false">SUMIFS(Dépenses!$D$5:$D$204,Dépenses!$C$5:$C$204,A20)</f>
        <v>150</v>
      </c>
      <c r="D20" s="12" t="n">
        <f aca="false">B20-C20</f>
        <v>0</v>
      </c>
      <c r="E20" s="13" t="n">
        <f aca="false">IF(B20=0,0,C20/B20)</f>
        <v>1</v>
      </c>
    </row>
    <row r="21" customFormat="false" ht="15" hidden="false" customHeight="false" outlineLevel="0" collapsed="false">
      <c r="A21" s="11" t="s">
        <v>36</v>
      </c>
      <c r="B21" s="8" t="n">
        <v>50</v>
      </c>
      <c r="C21" s="12" t="n">
        <f aca="false">SUMIFS(Dépenses!$D$5:$D$204,Dépenses!$C$5:$C$204,A21)</f>
        <v>0</v>
      </c>
      <c r="D21" s="12" t="n">
        <f aca="false">B21-C21</f>
        <v>50</v>
      </c>
      <c r="E21" s="13" t="n">
        <f aca="false">IF(B21=0,0,C21/B21)</f>
        <v>0</v>
      </c>
    </row>
    <row r="22" customFormat="false" ht="15" hidden="false" customHeight="false" outlineLevel="0" collapsed="false">
      <c r="A22" s="14" t="s">
        <v>37</v>
      </c>
      <c r="B22" s="15" t="n">
        <f aca="false">SUM(B13:B21)</f>
        <v>1595</v>
      </c>
      <c r="C22" s="15" t="n">
        <f aca="false">SUM(C13:C21)</f>
        <v>1289.26</v>
      </c>
      <c r="D22" s="15" t="n">
        <f aca="false">SUM(D13:D21)</f>
        <v>305.74</v>
      </c>
      <c r="E22" s="16" t="n">
        <f aca="false">IF(B22=0,0,C22/B22)</f>
        <v>0.808313479623825</v>
      </c>
    </row>
    <row r="24" customFormat="false" ht="16.15" hidden="false" customHeight="false" outlineLevel="0" collapsed="false">
      <c r="A24" s="3" t="s">
        <v>38</v>
      </c>
    </row>
    <row r="25" customFormat="false" ht="16.15" hidden="false" customHeight="false" outlineLevel="0" collapsed="false">
      <c r="A25" s="17" t="s">
        <v>21</v>
      </c>
      <c r="B25" s="18" t="n">
        <f aca="false">B9</f>
        <v>1970</v>
      </c>
    </row>
    <row r="26" customFormat="false" ht="16.15" hidden="false" customHeight="false" outlineLevel="0" collapsed="false">
      <c r="A26" s="17" t="s">
        <v>39</v>
      </c>
      <c r="B26" s="18" t="n">
        <f aca="false">C22</f>
        <v>1289.26</v>
      </c>
    </row>
    <row r="27" customFormat="false" ht="16.15" hidden="false" customHeight="false" outlineLevel="0" collapsed="false">
      <c r="A27" s="17" t="s">
        <v>40</v>
      </c>
      <c r="B27" s="18" t="n">
        <f aca="false">B9-C22</f>
        <v>680.74</v>
      </c>
    </row>
    <row r="28" customFormat="false" ht="16.15" hidden="false" customHeight="false" outlineLevel="0" collapsed="false">
      <c r="A28" s="17" t="s">
        <v>41</v>
      </c>
      <c r="B28" s="19" t="n">
        <f aca="false">IF(B9=0,0,C20/B9)</f>
        <v>0.0761421319796954</v>
      </c>
    </row>
  </sheetData>
  <conditionalFormatting sqref="D13:D22">
    <cfRule type="cellIs" priority="2" operator="lessThan" aboveAverage="0" equalAverage="0" bottom="0" percent="0" rank="0" text="" dxfId="0">
      <formula>0</formula>
    </cfRule>
  </conditionalFormatting>
  <conditionalFormatting sqref="E13:E21">
    <cfRule type="dataBar" priority="3">
      <dataBar showValue="1" minLength="10" maxLength="90">
        <cfvo type="num" val="0"/>
        <cfvo type="num" val="1"/>
        <color rgb="FF16A34A"/>
      </dataBar>
      <extLst>
        <ext xmlns:x14="http://schemas.microsoft.com/office/spreadsheetml/2009/9/main" uri="{B025F937-C7B1-47D3-B67F-A62EFF666E3E}">
          <x14:id>{C0AFDDAB-8855-471E-BA00-70903DE6331A}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AFDDAB-8855-471E-BA00-70903DE6331A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16A34A"/>
              <x14:axisColor rgb="FF000000"/>
            </x14:dataBar>
          </x14:cfRule>
          <xm:sqref>E13:E21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A34A"/>
    <pageSetUpPr fitToPage="false"/>
  </sheetPr>
  <dimension ref="A1:D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16"/>
  </cols>
  <sheetData>
    <row r="1" customFormat="false" ht="24.45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43</v>
      </c>
    </row>
    <row r="4" customFormat="false" ht="15" hidden="false" customHeight="false" outlineLevel="0" collapsed="false">
      <c r="A4" s="7" t="s">
        <v>44</v>
      </c>
      <c r="B4" s="7" t="s">
        <v>45</v>
      </c>
      <c r="C4" s="7" t="s">
        <v>23</v>
      </c>
      <c r="D4" s="7" t="s">
        <v>17</v>
      </c>
    </row>
    <row r="5" customFormat="false" ht="15" hidden="false" customHeight="false" outlineLevel="0" collapsed="false">
      <c r="A5" s="20" t="n">
        <v>46296</v>
      </c>
      <c r="B5" s="5" t="s">
        <v>46</v>
      </c>
      <c r="C5" s="5" t="s">
        <v>28</v>
      </c>
      <c r="D5" s="8" t="n">
        <v>650</v>
      </c>
    </row>
    <row r="6" customFormat="false" ht="15" hidden="false" customHeight="false" outlineLevel="0" collapsed="false">
      <c r="A6" s="20" t="n">
        <v>46297</v>
      </c>
      <c r="B6" s="5" t="s">
        <v>47</v>
      </c>
      <c r="C6" s="5" t="s">
        <v>29</v>
      </c>
      <c r="D6" s="8" t="n">
        <v>82.4</v>
      </c>
    </row>
    <row r="7" customFormat="false" ht="15" hidden="false" customHeight="false" outlineLevel="0" collapsed="false">
      <c r="A7" s="20" t="n">
        <v>46298</v>
      </c>
      <c r="B7" s="5" t="s">
        <v>48</v>
      </c>
      <c r="C7" s="5" t="s">
        <v>30</v>
      </c>
      <c r="D7" s="8" t="n">
        <v>86.4</v>
      </c>
    </row>
    <row r="8" customFormat="false" ht="15" hidden="false" customHeight="false" outlineLevel="0" collapsed="false">
      <c r="A8" s="20" t="n">
        <v>46299</v>
      </c>
      <c r="B8" s="5" t="s">
        <v>49</v>
      </c>
      <c r="C8" s="5" t="s">
        <v>31</v>
      </c>
      <c r="D8" s="8" t="n">
        <v>13.49</v>
      </c>
    </row>
    <row r="9" customFormat="false" ht="15" hidden="false" customHeight="false" outlineLevel="0" collapsed="false">
      <c r="A9" s="20" t="n">
        <v>46300</v>
      </c>
      <c r="B9" s="5" t="s">
        <v>50</v>
      </c>
      <c r="C9" s="5" t="s">
        <v>31</v>
      </c>
      <c r="D9" s="8" t="n">
        <v>10.99</v>
      </c>
    </row>
    <row r="10" customFormat="false" ht="15" hidden="false" customHeight="false" outlineLevel="0" collapsed="false">
      <c r="A10" s="20" t="n">
        <v>46301</v>
      </c>
      <c r="B10" s="5" t="s">
        <v>51</v>
      </c>
      <c r="C10" s="5" t="s">
        <v>32</v>
      </c>
      <c r="D10" s="8" t="n">
        <v>34</v>
      </c>
    </row>
    <row r="11" customFormat="false" ht="15" hidden="false" customHeight="false" outlineLevel="0" collapsed="false">
      <c r="A11" s="20" t="n">
        <v>46303</v>
      </c>
      <c r="B11" s="5" t="s">
        <v>52</v>
      </c>
      <c r="C11" s="5" t="s">
        <v>29</v>
      </c>
      <c r="D11" s="8" t="n">
        <v>27.5</v>
      </c>
    </row>
    <row r="12" customFormat="false" ht="15" hidden="false" customHeight="false" outlineLevel="0" collapsed="false">
      <c r="A12" s="20" t="n">
        <v>46304</v>
      </c>
      <c r="B12" s="5" t="s">
        <v>53</v>
      </c>
      <c r="C12" s="5" t="s">
        <v>34</v>
      </c>
      <c r="D12" s="8" t="n">
        <v>12.8</v>
      </c>
    </row>
    <row r="13" customFormat="false" ht="15" hidden="false" customHeight="false" outlineLevel="0" collapsed="false">
      <c r="A13" s="20" t="n">
        <v>46306</v>
      </c>
      <c r="B13" s="5" t="s">
        <v>54</v>
      </c>
      <c r="C13" s="5" t="s">
        <v>33</v>
      </c>
      <c r="D13" s="8" t="n">
        <v>79.99</v>
      </c>
    </row>
    <row r="14" customFormat="false" ht="15" hidden="false" customHeight="false" outlineLevel="0" collapsed="false">
      <c r="A14" s="20" t="n">
        <v>46307</v>
      </c>
      <c r="B14" s="5" t="s">
        <v>55</v>
      </c>
      <c r="C14" s="5" t="s">
        <v>35</v>
      </c>
      <c r="D14" s="8" t="n">
        <v>150</v>
      </c>
    </row>
    <row r="15" customFormat="false" ht="15" hidden="false" customHeight="false" outlineLevel="0" collapsed="false">
      <c r="A15" s="20" t="n">
        <v>46309</v>
      </c>
      <c r="B15" s="5" t="s">
        <v>47</v>
      </c>
      <c r="C15" s="5" t="s">
        <v>29</v>
      </c>
      <c r="D15" s="8" t="n">
        <v>64.2</v>
      </c>
    </row>
    <row r="16" customFormat="false" ht="15" hidden="false" customHeight="false" outlineLevel="0" collapsed="false">
      <c r="A16" s="20" t="n">
        <v>46310</v>
      </c>
      <c r="B16" s="5" t="s">
        <v>56</v>
      </c>
      <c r="C16" s="5" t="s">
        <v>30</v>
      </c>
      <c r="D16" s="8" t="n">
        <v>45</v>
      </c>
    </row>
    <row r="17" customFormat="false" ht="15" hidden="false" customHeight="false" outlineLevel="0" collapsed="false">
      <c r="A17" s="20" t="n">
        <v>46313</v>
      </c>
      <c r="B17" s="5" t="s">
        <v>57</v>
      </c>
      <c r="C17" s="5" t="s">
        <v>32</v>
      </c>
      <c r="D17" s="8" t="n">
        <v>12.5</v>
      </c>
    </row>
    <row r="18" customFormat="false" ht="15" hidden="false" customHeight="false" outlineLevel="0" collapsed="false">
      <c r="A18" s="20" t="n">
        <v>46315</v>
      </c>
      <c r="B18" s="5" t="s">
        <v>58</v>
      </c>
      <c r="C18" s="5" t="s">
        <v>31</v>
      </c>
      <c r="D18" s="8" t="n">
        <v>19.99</v>
      </c>
    </row>
    <row r="19" customFormat="false" ht="15" hidden="false" customHeight="false" outlineLevel="0" collapsed="false">
      <c r="A19" s="20"/>
      <c r="B19" s="5"/>
      <c r="C19" s="5"/>
      <c r="D19" s="8"/>
    </row>
    <row r="20" customFormat="false" ht="15" hidden="false" customHeight="false" outlineLevel="0" collapsed="false">
      <c r="A20" s="20"/>
      <c r="B20" s="5"/>
      <c r="C20" s="5"/>
      <c r="D20" s="8"/>
    </row>
    <row r="21" customFormat="false" ht="15" hidden="false" customHeight="false" outlineLevel="0" collapsed="false">
      <c r="A21" s="20"/>
      <c r="B21" s="5"/>
      <c r="C21" s="5"/>
      <c r="D21" s="8"/>
    </row>
    <row r="22" customFormat="false" ht="15" hidden="false" customHeight="false" outlineLevel="0" collapsed="false">
      <c r="A22" s="20"/>
      <c r="B22" s="5"/>
      <c r="C22" s="5"/>
      <c r="D22" s="8"/>
    </row>
    <row r="23" customFormat="false" ht="15" hidden="false" customHeight="false" outlineLevel="0" collapsed="false">
      <c r="A23" s="20"/>
      <c r="B23" s="5"/>
      <c r="C23" s="5"/>
      <c r="D23" s="8"/>
    </row>
    <row r="24" customFormat="false" ht="15" hidden="false" customHeight="false" outlineLevel="0" collapsed="false">
      <c r="A24" s="20"/>
      <c r="B24" s="5"/>
      <c r="C24" s="5"/>
      <c r="D24" s="8"/>
    </row>
    <row r="25" customFormat="false" ht="15" hidden="false" customHeight="false" outlineLevel="0" collapsed="false">
      <c r="A25" s="20"/>
      <c r="B25" s="5"/>
      <c r="C25" s="5"/>
      <c r="D25" s="8"/>
    </row>
    <row r="26" customFormat="false" ht="15" hidden="false" customHeight="false" outlineLevel="0" collapsed="false">
      <c r="A26" s="20"/>
      <c r="B26" s="5"/>
      <c r="C26" s="5"/>
      <c r="D26" s="8"/>
    </row>
    <row r="27" customFormat="false" ht="15" hidden="false" customHeight="false" outlineLevel="0" collapsed="false">
      <c r="A27" s="20"/>
      <c r="B27" s="5"/>
      <c r="C27" s="5"/>
      <c r="D27" s="8"/>
    </row>
    <row r="28" customFormat="false" ht="15" hidden="false" customHeight="false" outlineLevel="0" collapsed="false">
      <c r="A28" s="20"/>
      <c r="B28" s="5"/>
      <c r="C28" s="5"/>
      <c r="D28" s="8"/>
    </row>
    <row r="29" customFormat="false" ht="15" hidden="false" customHeight="false" outlineLevel="0" collapsed="false">
      <c r="A29" s="20"/>
      <c r="B29" s="5"/>
      <c r="C29" s="5"/>
      <c r="D29" s="8"/>
    </row>
    <row r="30" customFormat="false" ht="15" hidden="false" customHeight="false" outlineLevel="0" collapsed="false">
      <c r="A30" s="20"/>
      <c r="B30" s="5"/>
      <c r="C30" s="5"/>
      <c r="D30" s="8"/>
    </row>
    <row r="31" customFormat="false" ht="15" hidden="false" customHeight="false" outlineLevel="0" collapsed="false">
      <c r="A31" s="20"/>
      <c r="B31" s="5"/>
      <c r="C31" s="5"/>
      <c r="D31" s="8"/>
    </row>
    <row r="32" customFormat="false" ht="15" hidden="false" customHeight="false" outlineLevel="0" collapsed="false">
      <c r="A32" s="20"/>
      <c r="B32" s="5"/>
      <c r="C32" s="5"/>
      <c r="D32" s="8"/>
    </row>
    <row r="33" customFormat="false" ht="15" hidden="false" customHeight="false" outlineLevel="0" collapsed="false">
      <c r="A33" s="20"/>
      <c r="B33" s="5"/>
      <c r="C33" s="5"/>
      <c r="D33" s="8"/>
    </row>
    <row r="34" customFormat="false" ht="15" hidden="false" customHeight="false" outlineLevel="0" collapsed="false">
      <c r="A34" s="20"/>
      <c r="B34" s="5"/>
      <c r="C34" s="5"/>
      <c r="D34" s="8"/>
    </row>
    <row r="35" customFormat="false" ht="15" hidden="false" customHeight="false" outlineLevel="0" collapsed="false">
      <c r="A35" s="20"/>
      <c r="B35" s="5"/>
      <c r="C35" s="5"/>
      <c r="D35" s="8"/>
    </row>
    <row r="36" customFormat="false" ht="15" hidden="false" customHeight="false" outlineLevel="0" collapsed="false">
      <c r="A36" s="20"/>
      <c r="B36" s="5"/>
      <c r="C36" s="5"/>
      <c r="D36" s="8"/>
    </row>
    <row r="37" customFormat="false" ht="15" hidden="false" customHeight="false" outlineLevel="0" collapsed="false">
      <c r="A37" s="20"/>
      <c r="B37" s="5"/>
      <c r="C37" s="5"/>
      <c r="D37" s="8"/>
    </row>
    <row r="38" customFormat="false" ht="15" hidden="false" customHeight="false" outlineLevel="0" collapsed="false">
      <c r="A38" s="20"/>
      <c r="B38" s="5"/>
      <c r="C38" s="5"/>
      <c r="D38" s="8"/>
    </row>
    <row r="39" customFormat="false" ht="15" hidden="false" customHeight="false" outlineLevel="0" collapsed="false">
      <c r="A39" s="20"/>
      <c r="B39" s="5"/>
      <c r="C39" s="5"/>
      <c r="D39" s="8"/>
    </row>
    <row r="40" customFormat="false" ht="15" hidden="false" customHeight="false" outlineLevel="0" collapsed="false">
      <c r="A40" s="20"/>
      <c r="B40" s="5"/>
      <c r="C40" s="5"/>
      <c r="D40" s="8"/>
    </row>
    <row r="41" customFormat="false" ht="15" hidden="false" customHeight="false" outlineLevel="0" collapsed="false">
      <c r="A41" s="20"/>
      <c r="B41" s="5"/>
      <c r="C41" s="5"/>
      <c r="D41" s="8"/>
    </row>
    <row r="42" customFormat="false" ht="15" hidden="false" customHeight="false" outlineLevel="0" collapsed="false">
      <c r="A42" s="20"/>
      <c r="B42" s="5"/>
      <c r="C42" s="5"/>
      <c r="D42" s="8"/>
    </row>
    <row r="43" customFormat="false" ht="15" hidden="false" customHeight="false" outlineLevel="0" collapsed="false">
      <c r="A43" s="20"/>
      <c r="B43" s="5"/>
      <c r="C43" s="5"/>
      <c r="D43" s="8"/>
    </row>
    <row r="44" customFormat="false" ht="15" hidden="false" customHeight="false" outlineLevel="0" collapsed="false">
      <c r="A44" s="20"/>
      <c r="B44" s="5"/>
      <c r="C44" s="5"/>
      <c r="D44" s="8"/>
    </row>
    <row r="45" customFormat="false" ht="15" hidden="false" customHeight="false" outlineLevel="0" collapsed="false">
      <c r="A45" s="20"/>
      <c r="B45" s="5"/>
      <c r="C45" s="5"/>
      <c r="D45" s="8"/>
    </row>
    <row r="46" customFormat="false" ht="15" hidden="false" customHeight="false" outlineLevel="0" collapsed="false">
      <c r="A46" s="20"/>
      <c r="B46" s="5"/>
      <c r="C46" s="5"/>
      <c r="D46" s="8"/>
    </row>
    <row r="47" customFormat="false" ht="15" hidden="false" customHeight="false" outlineLevel="0" collapsed="false">
      <c r="A47" s="20"/>
      <c r="B47" s="5"/>
      <c r="C47" s="5"/>
      <c r="D47" s="8"/>
    </row>
    <row r="48" customFormat="false" ht="15" hidden="false" customHeight="false" outlineLevel="0" collapsed="false">
      <c r="A48" s="20"/>
      <c r="B48" s="5"/>
      <c r="C48" s="5"/>
      <c r="D48" s="8"/>
    </row>
    <row r="49" customFormat="false" ht="15" hidden="false" customHeight="false" outlineLevel="0" collapsed="false">
      <c r="A49" s="20"/>
      <c r="B49" s="5"/>
      <c r="C49" s="5"/>
      <c r="D49" s="8"/>
    </row>
    <row r="50" customFormat="false" ht="15" hidden="false" customHeight="false" outlineLevel="0" collapsed="false">
      <c r="A50" s="20"/>
      <c r="B50" s="5"/>
      <c r="C50" s="5"/>
      <c r="D50" s="8"/>
    </row>
    <row r="51" customFormat="false" ht="15" hidden="false" customHeight="false" outlineLevel="0" collapsed="false">
      <c r="A51" s="20"/>
      <c r="B51" s="5"/>
      <c r="C51" s="5"/>
      <c r="D51" s="8"/>
    </row>
    <row r="52" customFormat="false" ht="15" hidden="false" customHeight="false" outlineLevel="0" collapsed="false">
      <c r="A52" s="20"/>
      <c r="B52" s="5"/>
      <c r="C52" s="5"/>
      <c r="D52" s="8"/>
    </row>
    <row r="53" customFormat="false" ht="15" hidden="false" customHeight="false" outlineLevel="0" collapsed="false">
      <c r="A53" s="20"/>
      <c r="B53" s="5"/>
      <c r="C53" s="5"/>
      <c r="D53" s="8"/>
    </row>
    <row r="54" customFormat="false" ht="15" hidden="false" customHeight="false" outlineLevel="0" collapsed="false">
      <c r="A54" s="20"/>
      <c r="B54" s="5"/>
      <c r="C54" s="5"/>
      <c r="D54" s="8"/>
    </row>
    <row r="55" customFormat="false" ht="15" hidden="false" customHeight="false" outlineLevel="0" collapsed="false">
      <c r="A55" s="20"/>
      <c r="B55" s="5"/>
      <c r="C55" s="5"/>
      <c r="D55" s="8"/>
    </row>
    <row r="56" customFormat="false" ht="15" hidden="false" customHeight="false" outlineLevel="0" collapsed="false">
      <c r="A56" s="20"/>
      <c r="B56" s="5"/>
      <c r="C56" s="5"/>
      <c r="D56" s="8"/>
    </row>
    <row r="57" customFormat="false" ht="15" hidden="false" customHeight="false" outlineLevel="0" collapsed="false">
      <c r="A57" s="20"/>
      <c r="B57" s="5"/>
      <c r="C57" s="5"/>
      <c r="D57" s="8"/>
    </row>
    <row r="58" customFormat="false" ht="15" hidden="false" customHeight="false" outlineLevel="0" collapsed="false">
      <c r="A58" s="20"/>
      <c r="B58" s="5"/>
      <c r="C58" s="5"/>
      <c r="D58" s="8"/>
    </row>
    <row r="59" customFormat="false" ht="15" hidden="false" customHeight="false" outlineLevel="0" collapsed="false">
      <c r="A59" s="20"/>
      <c r="B59" s="5"/>
      <c r="C59" s="5"/>
      <c r="D59" s="8"/>
    </row>
    <row r="60" customFormat="false" ht="15" hidden="false" customHeight="false" outlineLevel="0" collapsed="false">
      <c r="A60" s="20"/>
      <c r="B60" s="5"/>
      <c r="C60" s="5"/>
      <c r="D60" s="8"/>
    </row>
    <row r="61" customFormat="false" ht="15" hidden="false" customHeight="false" outlineLevel="0" collapsed="false">
      <c r="A61" s="20"/>
      <c r="B61" s="5"/>
      <c r="C61" s="5"/>
      <c r="D61" s="8"/>
    </row>
    <row r="62" customFormat="false" ht="15" hidden="false" customHeight="false" outlineLevel="0" collapsed="false">
      <c r="A62" s="20"/>
      <c r="B62" s="5"/>
      <c r="C62" s="5"/>
      <c r="D62" s="8"/>
    </row>
    <row r="63" customFormat="false" ht="15" hidden="false" customHeight="false" outlineLevel="0" collapsed="false">
      <c r="A63" s="20"/>
      <c r="B63" s="5"/>
      <c r="C63" s="5"/>
      <c r="D63" s="8"/>
    </row>
    <row r="64" customFormat="false" ht="15" hidden="false" customHeight="false" outlineLevel="0" collapsed="false">
      <c r="A64" s="20"/>
      <c r="B64" s="5"/>
      <c r="C64" s="5"/>
      <c r="D64" s="8"/>
    </row>
    <row r="65" customFormat="false" ht="15" hidden="false" customHeight="false" outlineLevel="0" collapsed="false">
      <c r="A65" s="20"/>
      <c r="B65" s="5"/>
      <c r="C65" s="5"/>
      <c r="D65" s="8"/>
    </row>
    <row r="66" customFormat="false" ht="15" hidden="false" customHeight="false" outlineLevel="0" collapsed="false">
      <c r="A66" s="20"/>
      <c r="B66" s="5"/>
      <c r="C66" s="5"/>
      <c r="D66" s="8"/>
    </row>
    <row r="67" customFormat="false" ht="15" hidden="false" customHeight="false" outlineLevel="0" collapsed="false">
      <c r="A67" s="20"/>
      <c r="B67" s="5"/>
      <c r="C67" s="5"/>
      <c r="D67" s="8"/>
    </row>
    <row r="68" customFormat="false" ht="15" hidden="false" customHeight="false" outlineLevel="0" collapsed="false">
      <c r="A68" s="20"/>
      <c r="B68" s="5"/>
      <c r="C68" s="5"/>
      <c r="D68" s="8"/>
    </row>
    <row r="69" customFormat="false" ht="15" hidden="false" customHeight="false" outlineLevel="0" collapsed="false">
      <c r="A69" s="20"/>
      <c r="B69" s="5"/>
      <c r="C69" s="5"/>
      <c r="D69" s="8"/>
    </row>
    <row r="70" customFormat="false" ht="15" hidden="false" customHeight="false" outlineLevel="0" collapsed="false">
      <c r="A70" s="20"/>
      <c r="B70" s="5"/>
      <c r="C70" s="5"/>
      <c r="D70" s="8"/>
    </row>
    <row r="71" customFormat="false" ht="15" hidden="false" customHeight="false" outlineLevel="0" collapsed="false">
      <c r="A71" s="20"/>
      <c r="B71" s="5"/>
      <c r="C71" s="5"/>
      <c r="D71" s="8"/>
    </row>
    <row r="72" customFormat="false" ht="15" hidden="false" customHeight="false" outlineLevel="0" collapsed="false">
      <c r="A72" s="20"/>
      <c r="B72" s="5"/>
      <c r="C72" s="5"/>
      <c r="D72" s="8"/>
    </row>
    <row r="73" customFormat="false" ht="15" hidden="false" customHeight="false" outlineLevel="0" collapsed="false">
      <c r="A73" s="20"/>
      <c r="B73" s="5"/>
      <c r="C73" s="5"/>
      <c r="D73" s="8"/>
    </row>
    <row r="74" customFormat="false" ht="15" hidden="false" customHeight="false" outlineLevel="0" collapsed="false">
      <c r="A74" s="20"/>
      <c r="B74" s="5"/>
      <c r="C74" s="5"/>
      <c r="D74" s="8"/>
    </row>
    <row r="75" customFormat="false" ht="15" hidden="false" customHeight="false" outlineLevel="0" collapsed="false">
      <c r="A75" s="20"/>
      <c r="B75" s="5"/>
      <c r="C75" s="5"/>
      <c r="D75" s="8"/>
    </row>
    <row r="76" customFormat="false" ht="15" hidden="false" customHeight="false" outlineLevel="0" collapsed="false">
      <c r="A76" s="20"/>
      <c r="B76" s="5"/>
      <c r="C76" s="5"/>
      <c r="D76" s="8"/>
    </row>
    <row r="77" customFormat="false" ht="15" hidden="false" customHeight="false" outlineLevel="0" collapsed="false">
      <c r="A77" s="20"/>
      <c r="B77" s="5"/>
      <c r="C77" s="5"/>
      <c r="D77" s="8"/>
    </row>
    <row r="78" customFormat="false" ht="15" hidden="false" customHeight="false" outlineLevel="0" collapsed="false">
      <c r="A78" s="20"/>
      <c r="B78" s="5"/>
      <c r="C78" s="5"/>
      <c r="D78" s="8"/>
    </row>
    <row r="79" customFormat="false" ht="15" hidden="false" customHeight="false" outlineLevel="0" collapsed="false">
      <c r="A79" s="20"/>
      <c r="B79" s="5"/>
      <c r="C79" s="5"/>
      <c r="D79" s="8"/>
    </row>
    <row r="80" customFormat="false" ht="15" hidden="false" customHeight="false" outlineLevel="0" collapsed="false">
      <c r="A80" s="20"/>
      <c r="B80" s="5"/>
      <c r="C80" s="5"/>
      <c r="D80" s="8"/>
    </row>
    <row r="81" customFormat="false" ht="15" hidden="false" customHeight="false" outlineLevel="0" collapsed="false">
      <c r="A81" s="20"/>
      <c r="B81" s="5"/>
      <c r="C81" s="5"/>
      <c r="D81" s="8"/>
    </row>
    <row r="82" customFormat="false" ht="15" hidden="false" customHeight="false" outlineLevel="0" collapsed="false">
      <c r="A82" s="20"/>
      <c r="B82" s="5"/>
      <c r="C82" s="5"/>
      <c r="D82" s="8"/>
    </row>
    <row r="83" customFormat="false" ht="15" hidden="false" customHeight="false" outlineLevel="0" collapsed="false">
      <c r="A83" s="20"/>
      <c r="B83" s="5"/>
      <c r="C83" s="5"/>
      <c r="D83" s="8"/>
    </row>
    <row r="84" customFormat="false" ht="15" hidden="false" customHeight="false" outlineLevel="0" collapsed="false">
      <c r="A84" s="20"/>
      <c r="B84" s="5"/>
      <c r="C84" s="5"/>
      <c r="D84" s="8"/>
    </row>
    <row r="85" customFormat="false" ht="15" hidden="false" customHeight="false" outlineLevel="0" collapsed="false">
      <c r="A85" s="20"/>
      <c r="B85" s="5"/>
      <c r="C85" s="5"/>
      <c r="D85" s="8"/>
    </row>
    <row r="86" customFormat="false" ht="15" hidden="false" customHeight="false" outlineLevel="0" collapsed="false">
      <c r="A86" s="20"/>
      <c r="B86" s="5"/>
      <c r="C86" s="5"/>
      <c r="D86" s="8"/>
    </row>
    <row r="87" customFormat="false" ht="15" hidden="false" customHeight="false" outlineLevel="0" collapsed="false">
      <c r="A87" s="20"/>
      <c r="B87" s="5"/>
      <c r="C87" s="5"/>
      <c r="D87" s="8"/>
    </row>
    <row r="88" customFormat="false" ht="15" hidden="false" customHeight="false" outlineLevel="0" collapsed="false">
      <c r="A88" s="20"/>
      <c r="B88" s="5"/>
      <c r="C88" s="5"/>
      <c r="D88" s="8"/>
    </row>
    <row r="89" customFormat="false" ht="15" hidden="false" customHeight="false" outlineLevel="0" collapsed="false">
      <c r="A89" s="20"/>
      <c r="B89" s="5"/>
      <c r="C89" s="5"/>
      <c r="D89" s="8"/>
    </row>
    <row r="90" customFormat="false" ht="15" hidden="false" customHeight="false" outlineLevel="0" collapsed="false">
      <c r="A90" s="20"/>
      <c r="B90" s="5"/>
      <c r="C90" s="5"/>
      <c r="D90" s="8"/>
    </row>
    <row r="91" customFormat="false" ht="15" hidden="false" customHeight="false" outlineLevel="0" collapsed="false">
      <c r="A91" s="20"/>
      <c r="B91" s="5"/>
      <c r="C91" s="5"/>
      <c r="D91" s="8"/>
    </row>
    <row r="92" customFormat="false" ht="15" hidden="false" customHeight="false" outlineLevel="0" collapsed="false">
      <c r="A92" s="20"/>
      <c r="B92" s="5"/>
      <c r="C92" s="5"/>
      <c r="D92" s="8"/>
    </row>
    <row r="93" customFormat="false" ht="15" hidden="false" customHeight="false" outlineLevel="0" collapsed="false">
      <c r="A93" s="20"/>
      <c r="B93" s="5"/>
      <c r="C93" s="5"/>
      <c r="D93" s="8"/>
    </row>
    <row r="94" customFormat="false" ht="15" hidden="false" customHeight="false" outlineLevel="0" collapsed="false">
      <c r="A94" s="20"/>
      <c r="B94" s="5"/>
      <c r="C94" s="5"/>
      <c r="D94" s="8"/>
    </row>
    <row r="95" customFormat="false" ht="15" hidden="false" customHeight="false" outlineLevel="0" collapsed="false">
      <c r="A95" s="20"/>
      <c r="B95" s="5"/>
      <c r="C95" s="5"/>
      <c r="D95" s="8"/>
    </row>
    <row r="96" customFormat="false" ht="15" hidden="false" customHeight="false" outlineLevel="0" collapsed="false">
      <c r="A96" s="20"/>
      <c r="B96" s="5"/>
      <c r="C96" s="5"/>
      <c r="D96" s="8"/>
    </row>
    <row r="97" customFormat="false" ht="15" hidden="false" customHeight="false" outlineLevel="0" collapsed="false">
      <c r="A97" s="20"/>
      <c r="B97" s="5"/>
      <c r="C97" s="5"/>
      <c r="D97" s="8"/>
    </row>
    <row r="98" customFormat="false" ht="15" hidden="false" customHeight="false" outlineLevel="0" collapsed="false">
      <c r="A98" s="20"/>
      <c r="B98" s="5"/>
      <c r="C98" s="5"/>
      <c r="D98" s="8"/>
    </row>
    <row r="99" customFormat="false" ht="15" hidden="false" customHeight="false" outlineLevel="0" collapsed="false">
      <c r="A99" s="20"/>
      <c r="B99" s="5"/>
      <c r="C99" s="5"/>
      <c r="D99" s="8"/>
    </row>
    <row r="100" customFormat="false" ht="15" hidden="false" customHeight="false" outlineLevel="0" collapsed="false">
      <c r="A100" s="20"/>
      <c r="B100" s="5"/>
      <c r="C100" s="5"/>
      <c r="D100" s="8"/>
    </row>
    <row r="101" customFormat="false" ht="15" hidden="false" customHeight="false" outlineLevel="0" collapsed="false">
      <c r="A101" s="20"/>
      <c r="B101" s="5"/>
      <c r="C101" s="5"/>
      <c r="D101" s="8"/>
    </row>
    <row r="102" customFormat="false" ht="15" hidden="false" customHeight="false" outlineLevel="0" collapsed="false">
      <c r="A102" s="20"/>
      <c r="B102" s="5"/>
      <c r="C102" s="5"/>
      <c r="D102" s="8"/>
    </row>
    <row r="103" customFormat="false" ht="15" hidden="false" customHeight="false" outlineLevel="0" collapsed="false">
      <c r="A103" s="20"/>
      <c r="B103" s="5"/>
      <c r="C103" s="5"/>
      <c r="D103" s="8"/>
    </row>
    <row r="104" customFormat="false" ht="15" hidden="false" customHeight="false" outlineLevel="0" collapsed="false">
      <c r="A104" s="20"/>
      <c r="B104" s="5"/>
      <c r="C104" s="5"/>
      <c r="D104" s="8"/>
    </row>
    <row r="105" customFormat="false" ht="15" hidden="false" customHeight="false" outlineLevel="0" collapsed="false">
      <c r="A105" s="20"/>
      <c r="B105" s="5"/>
      <c r="C105" s="5"/>
      <c r="D105" s="8"/>
    </row>
    <row r="106" customFormat="false" ht="15" hidden="false" customHeight="false" outlineLevel="0" collapsed="false">
      <c r="A106" s="20"/>
      <c r="B106" s="5"/>
      <c r="C106" s="5"/>
      <c r="D106" s="8"/>
    </row>
    <row r="107" customFormat="false" ht="15" hidden="false" customHeight="false" outlineLevel="0" collapsed="false">
      <c r="A107" s="20"/>
      <c r="B107" s="5"/>
      <c r="C107" s="5"/>
      <c r="D107" s="8"/>
    </row>
    <row r="108" customFormat="false" ht="15" hidden="false" customHeight="false" outlineLevel="0" collapsed="false">
      <c r="A108" s="20"/>
      <c r="B108" s="5"/>
      <c r="C108" s="5"/>
      <c r="D108" s="8"/>
    </row>
    <row r="109" customFormat="false" ht="15" hidden="false" customHeight="false" outlineLevel="0" collapsed="false">
      <c r="A109" s="20"/>
      <c r="B109" s="5"/>
      <c r="C109" s="5"/>
      <c r="D109" s="8"/>
    </row>
    <row r="110" customFormat="false" ht="15" hidden="false" customHeight="false" outlineLevel="0" collapsed="false">
      <c r="A110" s="20"/>
      <c r="B110" s="5"/>
      <c r="C110" s="5"/>
      <c r="D110" s="8"/>
    </row>
    <row r="111" customFormat="false" ht="15" hidden="false" customHeight="false" outlineLevel="0" collapsed="false">
      <c r="A111" s="20"/>
      <c r="B111" s="5"/>
      <c r="C111" s="5"/>
      <c r="D111" s="8"/>
    </row>
    <row r="112" customFormat="false" ht="15" hidden="false" customHeight="false" outlineLevel="0" collapsed="false">
      <c r="A112" s="20"/>
      <c r="B112" s="5"/>
      <c r="C112" s="5"/>
      <c r="D112" s="8"/>
    </row>
    <row r="113" customFormat="false" ht="15" hidden="false" customHeight="false" outlineLevel="0" collapsed="false">
      <c r="A113" s="20"/>
      <c r="B113" s="5"/>
      <c r="C113" s="5"/>
      <c r="D113" s="8"/>
    </row>
    <row r="114" customFormat="false" ht="15" hidden="false" customHeight="false" outlineLevel="0" collapsed="false">
      <c r="A114" s="20"/>
      <c r="B114" s="5"/>
      <c r="C114" s="5"/>
      <c r="D114" s="8"/>
    </row>
    <row r="115" customFormat="false" ht="15" hidden="false" customHeight="false" outlineLevel="0" collapsed="false">
      <c r="A115" s="20"/>
      <c r="B115" s="5"/>
      <c r="C115" s="5"/>
      <c r="D115" s="8"/>
    </row>
    <row r="116" customFormat="false" ht="15" hidden="false" customHeight="false" outlineLevel="0" collapsed="false">
      <c r="A116" s="20"/>
      <c r="B116" s="5"/>
      <c r="C116" s="5"/>
      <c r="D116" s="8"/>
    </row>
    <row r="117" customFormat="false" ht="15" hidden="false" customHeight="false" outlineLevel="0" collapsed="false">
      <c r="A117" s="20"/>
      <c r="B117" s="5"/>
      <c r="C117" s="5"/>
      <c r="D117" s="8"/>
    </row>
    <row r="118" customFormat="false" ht="15" hidden="false" customHeight="false" outlineLevel="0" collapsed="false">
      <c r="A118" s="20"/>
      <c r="B118" s="5"/>
      <c r="C118" s="5"/>
      <c r="D118" s="8"/>
    </row>
    <row r="119" customFormat="false" ht="15" hidden="false" customHeight="false" outlineLevel="0" collapsed="false">
      <c r="A119" s="20"/>
      <c r="B119" s="5"/>
      <c r="C119" s="5"/>
      <c r="D119" s="8"/>
    </row>
    <row r="120" customFormat="false" ht="15" hidden="false" customHeight="false" outlineLevel="0" collapsed="false">
      <c r="A120" s="20"/>
      <c r="B120" s="5"/>
      <c r="C120" s="5"/>
      <c r="D120" s="8"/>
    </row>
    <row r="121" customFormat="false" ht="15" hidden="false" customHeight="false" outlineLevel="0" collapsed="false">
      <c r="A121" s="20"/>
      <c r="B121" s="5"/>
      <c r="C121" s="5"/>
      <c r="D121" s="8"/>
    </row>
    <row r="122" customFormat="false" ht="15" hidden="false" customHeight="false" outlineLevel="0" collapsed="false">
      <c r="A122" s="20"/>
      <c r="B122" s="5"/>
      <c r="C122" s="5"/>
      <c r="D122" s="8"/>
    </row>
    <row r="123" customFormat="false" ht="15" hidden="false" customHeight="false" outlineLevel="0" collapsed="false">
      <c r="A123" s="20"/>
      <c r="B123" s="5"/>
      <c r="C123" s="5"/>
      <c r="D123" s="8"/>
    </row>
    <row r="124" customFormat="false" ht="15" hidden="false" customHeight="false" outlineLevel="0" collapsed="false">
      <c r="A124" s="20"/>
      <c r="B124" s="5"/>
      <c r="C124" s="5"/>
      <c r="D124" s="8"/>
    </row>
    <row r="125" customFormat="false" ht="15" hidden="false" customHeight="false" outlineLevel="0" collapsed="false">
      <c r="A125" s="20"/>
      <c r="B125" s="5"/>
      <c r="C125" s="5"/>
      <c r="D125" s="8"/>
    </row>
    <row r="126" customFormat="false" ht="15" hidden="false" customHeight="false" outlineLevel="0" collapsed="false">
      <c r="A126" s="20"/>
      <c r="B126" s="5"/>
      <c r="C126" s="5"/>
      <c r="D126" s="8"/>
    </row>
    <row r="127" customFormat="false" ht="15" hidden="false" customHeight="false" outlineLevel="0" collapsed="false">
      <c r="A127" s="20"/>
      <c r="B127" s="5"/>
      <c r="C127" s="5"/>
      <c r="D127" s="8"/>
    </row>
    <row r="128" customFormat="false" ht="15" hidden="false" customHeight="false" outlineLevel="0" collapsed="false">
      <c r="A128" s="20"/>
      <c r="B128" s="5"/>
      <c r="C128" s="5"/>
      <c r="D128" s="8"/>
    </row>
    <row r="129" customFormat="false" ht="15" hidden="false" customHeight="false" outlineLevel="0" collapsed="false">
      <c r="A129" s="20"/>
      <c r="B129" s="5"/>
      <c r="C129" s="5"/>
      <c r="D129" s="8"/>
    </row>
    <row r="130" customFormat="false" ht="15" hidden="false" customHeight="false" outlineLevel="0" collapsed="false">
      <c r="A130" s="20"/>
      <c r="B130" s="5"/>
      <c r="C130" s="5"/>
      <c r="D130" s="8"/>
    </row>
    <row r="131" customFormat="false" ht="15" hidden="false" customHeight="false" outlineLevel="0" collapsed="false">
      <c r="A131" s="20"/>
      <c r="B131" s="5"/>
      <c r="C131" s="5"/>
      <c r="D131" s="8"/>
    </row>
    <row r="132" customFormat="false" ht="15" hidden="false" customHeight="false" outlineLevel="0" collapsed="false">
      <c r="A132" s="20"/>
      <c r="B132" s="5"/>
      <c r="C132" s="5"/>
      <c r="D132" s="8"/>
    </row>
    <row r="133" customFormat="false" ht="15" hidden="false" customHeight="false" outlineLevel="0" collapsed="false">
      <c r="A133" s="20"/>
      <c r="B133" s="5"/>
      <c r="C133" s="5"/>
      <c r="D133" s="8"/>
    </row>
    <row r="134" customFormat="false" ht="15" hidden="false" customHeight="false" outlineLevel="0" collapsed="false">
      <c r="A134" s="20"/>
      <c r="B134" s="5"/>
      <c r="C134" s="5"/>
      <c r="D134" s="8"/>
    </row>
    <row r="135" customFormat="false" ht="15" hidden="false" customHeight="false" outlineLevel="0" collapsed="false">
      <c r="A135" s="20"/>
      <c r="B135" s="5"/>
      <c r="C135" s="5"/>
      <c r="D135" s="8"/>
    </row>
    <row r="136" customFormat="false" ht="15" hidden="false" customHeight="false" outlineLevel="0" collapsed="false">
      <c r="A136" s="20"/>
      <c r="B136" s="5"/>
      <c r="C136" s="5"/>
      <c r="D136" s="8"/>
    </row>
    <row r="137" customFormat="false" ht="15" hidden="false" customHeight="false" outlineLevel="0" collapsed="false">
      <c r="A137" s="20"/>
      <c r="B137" s="5"/>
      <c r="C137" s="5"/>
      <c r="D137" s="8"/>
    </row>
    <row r="138" customFormat="false" ht="15" hidden="false" customHeight="false" outlineLevel="0" collapsed="false">
      <c r="A138" s="20"/>
      <c r="B138" s="5"/>
      <c r="C138" s="5"/>
      <c r="D138" s="8"/>
    </row>
    <row r="139" customFormat="false" ht="15" hidden="false" customHeight="false" outlineLevel="0" collapsed="false">
      <c r="A139" s="20"/>
      <c r="B139" s="5"/>
      <c r="C139" s="5"/>
      <c r="D139" s="8"/>
    </row>
    <row r="140" customFormat="false" ht="15" hidden="false" customHeight="false" outlineLevel="0" collapsed="false">
      <c r="A140" s="20"/>
      <c r="B140" s="5"/>
      <c r="C140" s="5"/>
      <c r="D140" s="8"/>
    </row>
    <row r="141" customFormat="false" ht="15" hidden="false" customHeight="false" outlineLevel="0" collapsed="false">
      <c r="A141" s="20"/>
      <c r="B141" s="5"/>
      <c r="C141" s="5"/>
      <c r="D141" s="8"/>
    </row>
    <row r="142" customFormat="false" ht="15" hidden="false" customHeight="false" outlineLevel="0" collapsed="false">
      <c r="A142" s="20"/>
      <c r="B142" s="5"/>
      <c r="C142" s="5"/>
      <c r="D142" s="8"/>
    </row>
    <row r="143" customFormat="false" ht="15" hidden="false" customHeight="false" outlineLevel="0" collapsed="false">
      <c r="A143" s="20"/>
      <c r="B143" s="5"/>
      <c r="C143" s="5"/>
      <c r="D143" s="8"/>
    </row>
    <row r="144" customFormat="false" ht="15" hidden="false" customHeight="false" outlineLevel="0" collapsed="false">
      <c r="A144" s="20"/>
      <c r="B144" s="5"/>
      <c r="C144" s="5"/>
      <c r="D144" s="8"/>
    </row>
    <row r="145" customFormat="false" ht="15" hidden="false" customHeight="false" outlineLevel="0" collapsed="false">
      <c r="A145" s="20"/>
      <c r="B145" s="5"/>
      <c r="C145" s="5"/>
      <c r="D145" s="8"/>
    </row>
    <row r="146" customFormat="false" ht="15" hidden="false" customHeight="false" outlineLevel="0" collapsed="false">
      <c r="A146" s="20"/>
      <c r="B146" s="5"/>
      <c r="C146" s="5"/>
      <c r="D146" s="8"/>
    </row>
    <row r="147" customFormat="false" ht="15" hidden="false" customHeight="false" outlineLevel="0" collapsed="false">
      <c r="A147" s="20"/>
      <c r="B147" s="5"/>
      <c r="C147" s="5"/>
      <c r="D147" s="8"/>
    </row>
    <row r="148" customFormat="false" ht="15" hidden="false" customHeight="false" outlineLevel="0" collapsed="false">
      <c r="A148" s="20"/>
      <c r="B148" s="5"/>
      <c r="C148" s="5"/>
      <c r="D148" s="8"/>
    </row>
    <row r="149" customFormat="false" ht="15" hidden="false" customHeight="false" outlineLevel="0" collapsed="false">
      <c r="A149" s="20"/>
      <c r="B149" s="5"/>
      <c r="C149" s="5"/>
      <c r="D149" s="8"/>
    </row>
    <row r="150" customFormat="false" ht="15" hidden="false" customHeight="false" outlineLevel="0" collapsed="false">
      <c r="A150" s="20"/>
      <c r="B150" s="5"/>
      <c r="C150" s="5"/>
      <c r="D150" s="8"/>
    </row>
    <row r="151" customFormat="false" ht="15" hidden="false" customHeight="false" outlineLevel="0" collapsed="false">
      <c r="A151" s="20"/>
      <c r="B151" s="5"/>
      <c r="C151" s="5"/>
      <c r="D151" s="8"/>
    </row>
    <row r="152" customFormat="false" ht="15" hidden="false" customHeight="false" outlineLevel="0" collapsed="false">
      <c r="A152" s="20"/>
      <c r="B152" s="5"/>
      <c r="C152" s="5"/>
      <c r="D152" s="8"/>
    </row>
    <row r="153" customFormat="false" ht="15" hidden="false" customHeight="false" outlineLevel="0" collapsed="false">
      <c r="A153" s="20"/>
      <c r="B153" s="5"/>
      <c r="C153" s="5"/>
      <c r="D153" s="8"/>
    </row>
    <row r="154" customFormat="false" ht="15" hidden="false" customHeight="false" outlineLevel="0" collapsed="false">
      <c r="A154" s="20"/>
      <c r="B154" s="5"/>
      <c r="C154" s="5"/>
      <c r="D154" s="8"/>
    </row>
    <row r="155" customFormat="false" ht="15" hidden="false" customHeight="false" outlineLevel="0" collapsed="false">
      <c r="A155" s="20"/>
      <c r="B155" s="5"/>
      <c r="C155" s="5"/>
      <c r="D155" s="8"/>
    </row>
    <row r="156" customFormat="false" ht="15" hidden="false" customHeight="false" outlineLevel="0" collapsed="false">
      <c r="A156" s="20"/>
      <c r="B156" s="5"/>
      <c r="C156" s="5"/>
      <c r="D156" s="8"/>
    </row>
    <row r="157" customFormat="false" ht="15" hidden="false" customHeight="false" outlineLevel="0" collapsed="false">
      <c r="A157" s="20"/>
      <c r="B157" s="5"/>
      <c r="C157" s="5"/>
      <c r="D157" s="8"/>
    </row>
    <row r="158" customFormat="false" ht="15" hidden="false" customHeight="false" outlineLevel="0" collapsed="false">
      <c r="A158" s="20"/>
      <c r="B158" s="5"/>
      <c r="C158" s="5"/>
      <c r="D158" s="8"/>
    </row>
    <row r="159" customFormat="false" ht="15" hidden="false" customHeight="false" outlineLevel="0" collapsed="false">
      <c r="A159" s="20"/>
      <c r="B159" s="5"/>
      <c r="C159" s="5"/>
      <c r="D159" s="8"/>
    </row>
    <row r="160" customFormat="false" ht="15" hidden="false" customHeight="false" outlineLevel="0" collapsed="false">
      <c r="A160" s="20"/>
      <c r="B160" s="5"/>
      <c r="C160" s="5"/>
      <c r="D160" s="8"/>
    </row>
    <row r="161" customFormat="false" ht="15" hidden="false" customHeight="false" outlineLevel="0" collapsed="false">
      <c r="A161" s="20"/>
      <c r="B161" s="5"/>
      <c r="C161" s="5"/>
      <c r="D161" s="8"/>
    </row>
    <row r="162" customFormat="false" ht="15" hidden="false" customHeight="false" outlineLevel="0" collapsed="false">
      <c r="A162" s="20"/>
      <c r="B162" s="5"/>
      <c r="C162" s="5"/>
      <c r="D162" s="8"/>
    </row>
    <row r="163" customFormat="false" ht="15" hidden="false" customHeight="false" outlineLevel="0" collapsed="false">
      <c r="A163" s="20"/>
      <c r="B163" s="5"/>
      <c r="C163" s="5"/>
      <c r="D163" s="8"/>
    </row>
    <row r="164" customFormat="false" ht="15" hidden="false" customHeight="false" outlineLevel="0" collapsed="false">
      <c r="A164" s="20"/>
      <c r="B164" s="5"/>
      <c r="C164" s="5"/>
      <c r="D164" s="8"/>
    </row>
    <row r="165" customFormat="false" ht="15" hidden="false" customHeight="false" outlineLevel="0" collapsed="false">
      <c r="A165" s="20"/>
      <c r="B165" s="5"/>
      <c r="C165" s="5"/>
      <c r="D165" s="8"/>
    </row>
    <row r="166" customFormat="false" ht="15" hidden="false" customHeight="false" outlineLevel="0" collapsed="false">
      <c r="A166" s="20"/>
      <c r="B166" s="5"/>
      <c r="C166" s="5"/>
      <c r="D166" s="8"/>
    </row>
    <row r="167" customFormat="false" ht="15" hidden="false" customHeight="false" outlineLevel="0" collapsed="false">
      <c r="A167" s="20"/>
      <c r="B167" s="5"/>
      <c r="C167" s="5"/>
      <c r="D167" s="8"/>
    </row>
    <row r="168" customFormat="false" ht="15" hidden="false" customHeight="false" outlineLevel="0" collapsed="false">
      <c r="A168" s="20"/>
      <c r="B168" s="5"/>
      <c r="C168" s="5"/>
      <c r="D168" s="8"/>
    </row>
    <row r="169" customFormat="false" ht="15" hidden="false" customHeight="false" outlineLevel="0" collapsed="false">
      <c r="A169" s="20"/>
      <c r="B169" s="5"/>
      <c r="C169" s="5"/>
      <c r="D169" s="8"/>
    </row>
    <row r="170" customFormat="false" ht="15" hidden="false" customHeight="false" outlineLevel="0" collapsed="false">
      <c r="A170" s="20"/>
      <c r="B170" s="5"/>
      <c r="C170" s="5"/>
      <c r="D170" s="8"/>
    </row>
    <row r="171" customFormat="false" ht="15" hidden="false" customHeight="false" outlineLevel="0" collapsed="false">
      <c r="A171" s="20"/>
      <c r="B171" s="5"/>
      <c r="C171" s="5"/>
      <c r="D171" s="8"/>
    </row>
    <row r="172" customFormat="false" ht="15" hidden="false" customHeight="false" outlineLevel="0" collapsed="false">
      <c r="A172" s="20"/>
      <c r="B172" s="5"/>
      <c r="C172" s="5"/>
      <c r="D172" s="8"/>
    </row>
    <row r="173" customFormat="false" ht="15" hidden="false" customHeight="false" outlineLevel="0" collapsed="false">
      <c r="A173" s="20"/>
      <c r="B173" s="5"/>
      <c r="C173" s="5"/>
      <c r="D173" s="8"/>
    </row>
    <row r="174" customFormat="false" ht="15" hidden="false" customHeight="false" outlineLevel="0" collapsed="false">
      <c r="A174" s="20"/>
      <c r="B174" s="5"/>
      <c r="C174" s="5"/>
      <c r="D174" s="8"/>
    </row>
    <row r="175" customFormat="false" ht="15" hidden="false" customHeight="false" outlineLevel="0" collapsed="false">
      <c r="A175" s="20"/>
      <c r="B175" s="5"/>
      <c r="C175" s="5"/>
      <c r="D175" s="8"/>
    </row>
    <row r="176" customFormat="false" ht="15" hidden="false" customHeight="false" outlineLevel="0" collapsed="false">
      <c r="A176" s="20"/>
      <c r="B176" s="5"/>
      <c r="C176" s="5"/>
      <c r="D176" s="8"/>
    </row>
    <row r="177" customFormat="false" ht="15" hidden="false" customHeight="false" outlineLevel="0" collapsed="false">
      <c r="A177" s="20"/>
      <c r="B177" s="5"/>
      <c r="C177" s="5"/>
      <c r="D177" s="8"/>
    </row>
    <row r="178" customFormat="false" ht="15" hidden="false" customHeight="false" outlineLevel="0" collapsed="false">
      <c r="A178" s="20"/>
      <c r="B178" s="5"/>
      <c r="C178" s="5"/>
      <c r="D178" s="8"/>
    </row>
    <row r="179" customFormat="false" ht="15" hidden="false" customHeight="false" outlineLevel="0" collapsed="false">
      <c r="A179" s="20"/>
      <c r="B179" s="5"/>
      <c r="C179" s="5"/>
      <c r="D179" s="8"/>
    </row>
    <row r="180" customFormat="false" ht="15" hidden="false" customHeight="false" outlineLevel="0" collapsed="false">
      <c r="A180" s="20"/>
      <c r="B180" s="5"/>
      <c r="C180" s="5"/>
      <c r="D180" s="8"/>
    </row>
    <row r="181" customFormat="false" ht="15" hidden="false" customHeight="false" outlineLevel="0" collapsed="false">
      <c r="A181" s="20"/>
      <c r="B181" s="5"/>
      <c r="C181" s="5"/>
      <c r="D181" s="8"/>
    </row>
    <row r="182" customFormat="false" ht="15" hidden="false" customHeight="false" outlineLevel="0" collapsed="false">
      <c r="A182" s="20"/>
      <c r="B182" s="5"/>
      <c r="C182" s="5"/>
      <c r="D182" s="8"/>
    </row>
    <row r="183" customFormat="false" ht="15" hidden="false" customHeight="false" outlineLevel="0" collapsed="false">
      <c r="A183" s="20"/>
      <c r="B183" s="5"/>
      <c r="C183" s="5"/>
      <c r="D183" s="8"/>
    </row>
    <row r="184" customFormat="false" ht="15" hidden="false" customHeight="false" outlineLevel="0" collapsed="false">
      <c r="A184" s="20"/>
      <c r="B184" s="5"/>
      <c r="C184" s="5"/>
      <c r="D184" s="8"/>
    </row>
    <row r="185" customFormat="false" ht="15" hidden="false" customHeight="false" outlineLevel="0" collapsed="false">
      <c r="A185" s="20"/>
      <c r="B185" s="5"/>
      <c r="C185" s="5"/>
      <c r="D185" s="8"/>
    </row>
    <row r="186" customFormat="false" ht="15" hidden="false" customHeight="false" outlineLevel="0" collapsed="false">
      <c r="A186" s="20"/>
      <c r="B186" s="5"/>
      <c r="C186" s="5"/>
      <c r="D186" s="8"/>
    </row>
    <row r="187" customFormat="false" ht="15" hidden="false" customHeight="false" outlineLevel="0" collapsed="false">
      <c r="A187" s="20"/>
      <c r="B187" s="5"/>
      <c r="C187" s="5"/>
      <c r="D187" s="8"/>
    </row>
    <row r="188" customFormat="false" ht="15" hidden="false" customHeight="false" outlineLevel="0" collapsed="false">
      <c r="A188" s="20"/>
      <c r="B188" s="5"/>
      <c r="C188" s="5"/>
      <c r="D188" s="8"/>
    </row>
    <row r="189" customFormat="false" ht="15" hidden="false" customHeight="false" outlineLevel="0" collapsed="false">
      <c r="A189" s="20"/>
      <c r="B189" s="5"/>
      <c r="C189" s="5"/>
      <c r="D189" s="8"/>
    </row>
    <row r="190" customFormat="false" ht="15" hidden="false" customHeight="false" outlineLevel="0" collapsed="false">
      <c r="A190" s="20"/>
      <c r="B190" s="5"/>
      <c r="C190" s="5"/>
      <c r="D190" s="8"/>
    </row>
    <row r="191" customFormat="false" ht="15" hidden="false" customHeight="false" outlineLevel="0" collapsed="false">
      <c r="A191" s="20"/>
      <c r="B191" s="5"/>
      <c r="C191" s="5"/>
      <c r="D191" s="8"/>
    </row>
    <row r="192" customFormat="false" ht="15" hidden="false" customHeight="false" outlineLevel="0" collapsed="false">
      <c r="A192" s="20"/>
      <c r="B192" s="5"/>
      <c r="C192" s="5"/>
      <c r="D192" s="8"/>
    </row>
    <row r="193" customFormat="false" ht="15" hidden="false" customHeight="false" outlineLevel="0" collapsed="false">
      <c r="A193" s="20"/>
      <c r="B193" s="5"/>
      <c r="C193" s="5"/>
      <c r="D193" s="8"/>
    </row>
    <row r="194" customFormat="false" ht="15" hidden="false" customHeight="false" outlineLevel="0" collapsed="false">
      <c r="A194" s="20"/>
      <c r="B194" s="5"/>
      <c r="C194" s="5"/>
      <c r="D194" s="8"/>
    </row>
    <row r="195" customFormat="false" ht="15" hidden="false" customHeight="false" outlineLevel="0" collapsed="false">
      <c r="A195" s="20"/>
      <c r="B195" s="5"/>
      <c r="C195" s="5"/>
      <c r="D195" s="8"/>
    </row>
    <row r="196" customFormat="false" ht="15" hidden="false" customHeight="false" outlineLevel="0" collapsed="false">
      <c r="A196" s="20"/>
      <c r="B196" s="5"/>
      <c r="C196" s="5"/>
      <c r="D196" s="8"/>
    </row>
    <row r="197" customFormat="false" ht="15" hidden="false" customHeight="false" outlineLevel="0" collapsed="false">
      <c r="A197" s="20"/>
      <c r="B197" s="5"/>
      <c r="C197" s="5"/>
      <c r="D197" s="8"/>
    </row>
    <row r="198" customFormat="false" ht="15" hidden="false" customHeight="false" outlineLevel="0" collapsed="false">
      <c r="A198" s="20"/>
      <c r="B198" s="5"/>
      <c r="C198" s="5"/>
      <c r="D198" s="8"/>
    </row>
    <row r="199" customFormat="false" ht="15" hidden="false" customHeight="false" outlineLevel="0" collapsed="false">
      <c r="A199" s="20"/>
      <c r="B199" s="5"/>
      <c r="C199" s="5"/>
      <c r="D199" s="8"/>
    </row>
    <row r="200" customFormat="false" ht="15" hidden="false" customHeight="false" outlineLevel="0" collapsed="false">
      <c r="A200" s="20"/>
      <c r="B200" s="5"/>
      <c r="C200" s="5"/>
      <c r="D200" s="8"/>
    </row>
    <row r="201" customFormat="false" ht="15" hidden="false" customHeight="false" outlineLevel="0" collapsed="false">
      <c r="A201" s="20"/>
      <c r="B201" s="5"/>
      <c r="C201" s="5"/>
      <c r="D201" s="8"/>
    </row>
    <row r="202" customFormat="false" ht="15" hidden="false" customHeight="false" outlineLevel="0" collapsed="false">
      <c r="A202" s="20"/>
      <c r="B202" s="5"/>
      <c r="C202" s="5"/>
      <c r="D202" s="8"/>
    </row>
    <row r="203" customFormat="false" ht="15" hidden="false" customHeight="false" outlineLevel="0" collapsed="false">
      <c r="A203" s="20"/>
      <c r="B203" s="5"/>
      <c r="C203" s="5"/>
      <c r="D203" s="8"/>
    </row>
    <row r="204" customFormat="false" ht="15" hidden="false" customHeight="false" outlineLevel="0" collapsed="false">
      <c r="A204" s="20"/>
      <c r="B204" s="5"/>
      <c r="C204" s="5"/>
      <c r="D204" s="8"/>
    </row>
  </sheetData>
  <dataValidations count="1">
    <dataValidation allowBlank="true" errorStyle="stop" operator="between" showDropDown="false" showErrorMessage="false" showInputMessage="false" sqref="C5:C204" type="list">
      <formula1>"Logement,Courses,Transport,Abonnements,Sorties &amp; loisirs,Shopping,Santé,Épargne,Autre"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A34A"/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20"/>
  </cols>
  <sheetData>
    <row r="1" customFormat="false" ht="24.45" hidden="false" customHeight="false" outlineLevel="0" collapsed="false">
      <c r="A1" s="1" t="s">
        <v>59</v>
      </c>
    </row>
    <row r="2" customFormat="false" ht="15" hidden="false" customHeight="false" outlineLevel="0" collapsed="false">
      <c r="A2" s="2" t="s">
        <v>60</v>
      </c>
    </row>
    <row r="4" customFormat="false" ht="15" hidden="false" customHeight="false" outlineLevel="0" collapsed="false">
      <c r="A4" s="7" t="s">
        <v>61</v>
      </c>
      <c r="B4" s="7" t="s">
        <v>62</v>
      </c>
      <c r="C4" s="7" t="s">
        <v>63</v>
      </c>
      <c r="D4" s="7" t="s">
        <v>64</v>
      </c>
      <c r="E4" s="7" t="s">
        <v>65</v>
      </c>
      <c r="F4" s="7" t="s">
        <v>66</v>
      </c>
    </row>
    <row r="5" customFormat="false" ht="15" hidden="false" customHeight="false" outlineLevel="0" collapsed="false">
      <c r="A5" s="5" t="s">
        <v>67</v>
      </c>
      <c r="B5" s="8" t="n">
        <v>4200</v>
      </c>
      <c r="C5" s="21" t="n">
        <v>0.049</v>
      </c>
      <c r="D5" s="8" t="n">
        <v>180</v>
      </c>
      <c r="E5" s="11" t="n">
        <f aca="false">IF(OR(B5="",B5=0),"",IF(C5=0,ROUNDUP(B5/D5,0),IF(D5&lt;=B5*C5/12,"Mensualité trop faible",ROUNDUP(NPER(C5/12,-D5,B5),0))))</f>
        <v>25</v>
      </c>
      <c r="F5" s="12" t="n">
        <f aca="false">IF(ISNUMBER(E5),MAX(0,E5*D5-B5),"")</f>
        <v>300</v>
      </c>
    </row>
    <row r="6" customFormat="false" ht="15" hidden="false" customHeight="false" outlineLevel="0" collapsed="false">
      <c r="A6" s="5" t="s">
        <v>68</v>
      </c>
      <c r="B6" s="8" t="n">
        <v>950</v>
      </c>
      <c r="C6" s="21" t="n">
        <v>0.19</v>
      </c>
      <c r="D6" s="8" t="n">
        <v>80</v>
      </c>
      <c r="E6" s="11" t="n">
        <f aca="false">IF(OR(B6="",B6=0),"",IF(C6=0,ROUNDUP(B6/D6,0),IF(D6&lt;=B6*C6/12,"Mensualité trop faible",ROUNDUP(NPER(C6/12,-D6,B6),0))))</f>
        <v>14</v>
      </c>
      <c r="F6" s="12" t="n">
        <f aca="false">IF(ISNUMBER(E6),MAX(0,E6*D6-B6),"")</f>
        <v>170</v>
      </c>
    </row>
    <row r="7" customFormat="false" ht="15" hidden="false" customHeight="false" outlineLevel="0" collapsed="false">
      <c r="A7" s="5" t="s">
        <v>69</v>
      </c>
      <c r="B7" s="8" t="n">
        <v>3000</v>
      </c>
      <c r="C7" s="21" t="n">
        <v>0.012</v>
      </c>
      <c r="D7" s="8" t="n">
        <v>100</v>
      </c>
      <c r="E7" s="11" t="n">
        <f aca="false">IF(OR(B7="",B7=0),"",IF(C7=0,ROUNDUP(B7/D7,0),IF(D7&lt;=B7*C7/12,"Mensualité trop faible",ROUNDUP(NPER(C7/12,-D7,B7),0))))</f>
        <v>31</v>
      </c>
      <c r="F7" s="12" t="n">
        <f aca="false">IF(ISNUMBER(E7),MAX(0,E7*D7-B7),"")</f>
        <v>100</v>
      </c>
    </row>
    <row r="8" customFormat="false" ht="15" hidden="false" customHeight="false" outlineLevel="0" collapsed="false">
      <c r="A8" s="5"/>
      <c r="B8" s="8"/>
      <c r="C8" s="21"/>
      <c r="D8" s="8"/>
      <c r="E8" s="11" t="str">
        <f aca="false">IF(OR(B8="",B8=0),"",IF(C8=0,ROUNDUP(B8/D8,0),IF(D8&lt;=B8*C8/12,"Mensualité trop faible",ROUNDUP(NPER(C8/12,-D8,B8),0))))</f>
        <v/>
      </c>
      <c r="F8" s="12" t="str">
        <f aca="false">IF(ISNUMBER(E8),MAX(0,E8*D8-B8),"")</f>
        <v/>
      </c>
    </row>
    <row r="9" customFormat="false" ht="15" hidden="false" customHeight="false" outlineLevel="0" collapsed="false">
      <c r="A9" s="5"/>
      <c r="B9" s="8"/>
      <c r="C9" s="21"/>
      <c r="D9" s="8"/>
      <c r="E9" s="11" t="str">
        <f aca="false">IF(OR(B9="",B9=0),"",IF(C9=0,ROUNDUP(B9/D9,0),IF(D9&lt;=B9*C9/12,"Mensualité trop faible",ROUNDUP(NPER(C9/12,-D9,B9),0))))</f>
        <v/>
      </c>
      <c r="F9" s="12" t="str">
        <f aca="false">IF(ISNUMBER(E9),MAX(0,E9*D9-B9),"")</f>
        <v/>
      </c>
    </row>
    <row r="10" customFormat="false" ht="15" hidden="false" customHeight="false" outlineLevel="0" collapsed="false">
      <c r="A10" s="5"/>
      <c r="B10" s="8"/>
      <c r="C10" s="21"/>
      <c r="D10" s="8"/>
      <c r="E10" s="11" t="str">
        <f aca="false">IF(OR(B10="",B10=0),"",IF(C10=0,ROUNDUP(B10/D10,0),IF(D10&lt;=B10*C10/12,"Mensualité trop faible",ROUNDUP(NPER(C10/12,-D10,B10),0))))</f>
        <v/>
      </c>
      <c r="F10" s="12" t="str">
        <f aca="false">IF(ISNUMBER(E10),MAX(0,E10*D10-B10),"")</f>
        <v/>
      </c>
    </row>
    <row r="11" customFormat="false" ht="15" hidden="false" customHeight="false" outlineLevel="0" collapsed="false">
      <c r="A11" s="5"/>
      <c r="B11" s="8"/>
      <c r="C11" s="21"/>
      <c r="D11" s="8"/>
      <c r="E11" s="11" t="str">
        <f aca="false">IF(OR(B11="",B11=0),"",IF(C11=0,ROUNDUP(B11/D11,0),IF(D11&lt;=B11*C11/12,"Mensualité trop faible",ROUNDUP(NPER(C11/12,-D11,B11),0))))</f>
        <v/>
      </c>
      <c r="F11" s="12" t="str">
        <f aca="false">IF(ISNUMBER(E11),MAX(0,E11*D11-B11),"")</f>
        <v/>
      </c>
    </row>
    <row r="12" customFormat="false" ht="15" hidden="false" customHeight="false" outlineLevel="0" collapsed="false">
      <c r="A12" s="5"/>
      <c r="B12" s="8"/>
      <c r="C12" s="21"/>
      <c r="D12" s="8"/>
      <c r="E12" s="11" t="str">
        <f aca="false">IF(OR(B12="",B12=0),"",IF(C12=0,ROUNDUP(B12/D12,0),IF(D12&lt;=B12*C12/12,"Mensualité trop faible",ROUNDUP(NPER(C12/12,-D12,B12),0))))</f>
        <v/>
      </c>
      <c r="F12" s="12" t="str">
        <f aca="false">IF(ISNUMBER(E12),MAX(0,E12*D12-B12),"")</f>
        <v/>
      </c>
    </row>
    <row r="14" customFormat="false" ht="15" hidden="false" customHeight="false" outlineLevel="0" collapsed="false">
      <c r="A14" s="14" t="s">
        <v>37</v>
      </c>
      <c r="B14" s="15" t="n">
        <f aca="false">SUM(B5:B12)</f>
        <v>8150</v>
      </c>
      <c r="C14" s="14"/>
      <c r="D14" s="15" t="n">
        <f aca="false">SUM(D5:D12)</f>
        <v>360</v>
      </c>
      <c r="E14" s="14" t="n">
        <f aca="false">IF(COUNT(E5:E12)=0,"",MAX(E5:E12))</f>
        <v>31</v>
      </c>
      <c r="F14" s="15" t="n">
        <f aca="false">SUM(F5:F12)</f>
        <v>570</v>
      </c>
    </row>
    <row r="16" customFormat="false" ht="16.15" hidden="false" customHeight="false" outlineLevel="0" collapsed="false">
      <c r="A16" s="22" t="s">
        <v>70</v>
      </c>
      <c r="C16" s="3" t="str">
        <f aca="false">IF(E14="","-",E14&amp;" mois")</f>
        <v>31 mois</v>
      </c>
    </row>
    <row r="17" customFormat="false" ht="15" hidden="false" customHeight="false" outlineLevel="0" collapsed="false">
      <c r="A17" s="23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A34A"/>
    <pageSetUpPr fitToPage="false"/>
  </sheetPr>
  <dimension ref="A1:G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3"/>
    <col collapsed="false" customWidth="true" hidden="false" outlineLevel="0" max="6" min="6" style="0" width="22"/>
    <col collapsed="false" customWidth="true" hidden="false" outlineLevel="0" max="7" min="7" style="0" width="14"/>
  </cols>
  <sheetData>
    <row r="1" customFormat="false" ht="24.45" hidden="false" customHeight="false" outlineLevel="0" collapsed="false">
      <c r="A1" s="1" t="s">
        <v>72</v>
      </c>
    </row>
    <row r="2" customFormat="false" ht="15" hidden="false" customHeight="false" outlineLevel="0" collapsed="false">
      <c r="A2" s="2" t="s">
        <v>73</v>
      </c>
    </row>
    <row r="4" customFormat="false" ht="26.85" hidden="false" customHeight="false" outlineLevel="0" collapsed="false">
      <c r="A4" s="7" t="s">
        <v>74</v>
      </c>
      <c r="B4" s="7" t="s">
        <v>75</v>
      </c>
      <c r="C4" s="7" t="s">
        <v>76</v>
      </c>
      <c r="D4" s="7" t="s">
        <v>77</v>
      </c>
    </row>
    <row r="5" customFormat="false" ht="15" hidden="false" customHeight="false" outlineLevel="0" collapsed="false">
      <c r="A5" s="11" t="n">
        <v>1</v>
      </c>
      <c r="B5" s="12" t="n">
        <f aca="false">A5*$G$5</f>
        <v>1</v>
      </c>
      <c r="C5" s="24" t="s">
        <v>78</v>
      </c>
      <c r="D5" s="12" t="n">
        <f aca="false">SUMIFS($B$5:B5,$C$5:C5,"x")</f>
        <v>1</v>
      </c>
      <c r="F5" s="25" t="s">
        <v>79</v>
      </c>
      <c r="G5" s="8" t="n">
        <v>1</v>
      </c>
    </row>
    <row r="6" customFormat="false" ht="15" hidden="false" customHeight="false" outlineLevel="0" collapsed="false">
      <c r="A6" s="11" t="n">
        <v>2</v>
      </c>
      <c r="B6" s="12" t="n">
        <f aca="false">A6*$G$5</f>
        <v>2</v>
      </c>
      <c r="C6" s="24" t="s">
        <v>78</v>
      </c>
      <c r="D6" s="12" t="n">
        <f aca="false">SUMIFS($B$5:B6,$C$5:C6,"x")</f>
        <v>3</v>
      </c>
    </row>
    <row r="7" customFormat="false" ht="16.15" hidden="false" customHeight="false" outlineLevel="0" collapsed="false">
      <c r="A7" s="11" t="n">
        <v>3</v>
      </c>
      <c r="B7" s="12" t="n">
        <f aca="false">A7*$G$5</f>
        <v>3</v>
      </c>
      <c r="C7" s="24" t="s">
        <v>78</v>
      </c>
      <c r="D7" s="12" t="n">
        <f aca="false">SUMIFS($B$5:B7,$C$5:C7,"x")</f>
        <v>6</v>
      </c>
      <c r="F7" s="9" t="s">
        <v>80</v>
      </c>
      <c r="G7" s="26" t="n">
        <f aca="false">SUM(B5:B56)</f>
        <v>1378</v>
      </c>
    </row>
    <row r="8" customFormat="false" ht="16.15" hidden="false" customHeight="false" outlineLevel="0" collapsed="false">
      <c r="A8" s="11" t="n">
        <v>4</v>
      </c>
      <c r="B8" s="12" t="n">
        <f aca="false">A8*$G$5</f>
        <v>4</v>
      </c>
      <c r="C8" s="24" t="s">
        <v>78</v>
      </c>
      <c r="D8" s="12" t="n">
        <f aca="false">SUMIFS($B$5:B8,$C$5:C8,"x")</f>
        <v>10</v>
      </c>
      <c r="F8" s="9" t="s">
        <v>81</v>
      </c>
      <c r="G8" s="26" t="n">
        <f aca="false">SUMIFS(B5:B56,C5:C56,"x")</f>
        <v>21</v>
      </c>
    </row>
    <row r="9" customFormat="false" ht="16.15" hidden="false" customHeight="false" outlineLevel="0" collapsed="false">
      <c r="A9" s="11" t="n">
        <v>5</v>
      </c>
      <c r="B9" s="12" t="n">
        <f aca="false">A9*$G$5</f>
        <v>5</v>
      </c>
      <c r="C9" s="24" t="s">
        <v>78</v>
      </c>
      <c r="D9" s="12" t="n">
        <f aca="false">SUMIFS($B$5:B9,$C$5:C9,"x")</f>
        <v>15</v>
      </c>
      <c r="F9" s="9" t="s">
        <v>82</v>
      </c>
      <c r="G9" s="27" t="n">
        <f aca="false">IF(G7=0,0,G8/G7)</f>
        <v>0.0152394775036284</v>
      </c>
    </row>
    <row r="10" customFormat="false" ht="15" hidden="false" customHeight="false" outlineLevel="0" collapsed="false">
      <c r="A10" s="11" t="n">
        <v>6</v>
      </c>
      <c r="B10" s="12" t="n">
        <f aca="false">A10*$G$5</f>
        <v>6</v>
      </c>
      <c r="C10" s="24" t="s">
        <v>78</v>
      </c>
      <c r="D10" s="12" t="n">
        <f aca="false">SUMIFS($B$5:B10,$C$5:C10,"x")</f>
        <v>21</v>
      </c>
    </row>
    <row r="11" customFormat="false" ht="15" hidden="false" customHeight="false" outlineLevel="0" collapsed="false">
      <c r="A11" s="11" t="n">
        <v>7</v>
      </c>
      <c r="B11" s="12" t="n">
        <f aca="false">A11*$G$5</f>
        <v>7</v>
      </c>
      <c r="C11" s="24"/>
      <c r="D11" s="12" t="n">
        <f aca="false">SUMIFS($B$5:B11,$C$5:C11,"x")</f>
        <v>21</v>
      </c>
      <c r="F11" s="23" t="s">
        <v>83</v>
      </c>
    </row>
    <row r="12" customFormat="false" ht="15" hidden="false" customHeight="false" outlineLevel="0" collapsed="false">
      <c r="A12" s="11" t="n">
        <v>8</v>
      </c>
      <c r="B12" s="12" t="n">
        <f aca="false">A12*$G$5</f>
        <v>8</v>
      </c>
      <c r="C12" s="24"/>
      <c r="D12" s="12" t="n">
        <f aca="false">SUMIFS($B$5:B12,$C$5:C12,"x")</f>
        <v>21</v>
      </c>
    </row>
    <row r="13" customFormat="false" ht="15" hidden="false" customHeight="false" outlineLevel="0" collapsed="false">
      <c r="A13" s="11" t="n">
        <v>9</v>
      </c>
      <c r="B13" s="12" t="n">
        <f aca="false">A13*$G$5</f>
        <v>9</v>
      </c>
      <c r="C13" s="24"/>
      <c r="D13" s="12" t="n">
        <f aca="false">SUMIFS($B$5:B13,$C$5:C13,"x")</f>
        <v>21</v>
      </c>
    </row>
    <row r="14" customFormat="false" ht="15" hidden="false" customHeight="false" outlineLevel="0" collapsed="false">
      <c r="A14" s="11" t="n">
        <v>10</v>
      </c>
      <c r="B14" s="12" t="n">
        <f aca="false">A14*$G$5</f>
        <v>10</v>
      </c>
      <c r="C14" s="24"/>
      <c r="D14" s="12" t="n">
        <f aca="false">SUMIFS($B$5:B14,$C$5:C14,"x")</f>
        <v>21</v>
      </c>
    </row>
    <row r="15" customFormat="false" ht="15" hidden="false" customHeight="false" outlineLevel="0" collapsed="false">
      <c r="A15" s="11" t="n">
        <v>11</v>
      </c>
      <c r="B15" s="12" t="n">
        <f aca="false">A15*$G$5</f>
        <v>11</v>
      </c>
      <c r="C15" s="24"/>
      <c r="D15" s="12" t="n">
        <f aca="false">SUMIFS($B$5:B15,$C$5:C15,"x")</f>
        <v>21</v>
      </c>
    </row>
    <row r="16" customFormat="false" ht="15" hidden="false" customHeight="false" outlineLevel="0" collapsed="false">
      <c r="A16" s="11" t="n">
        <v>12</v>
      </c>
      <c r="B16" s="12" t="n">
        <f aca="false">A16*$G$5</f>
        <v>12</v>
      </c>
      <c r="C16" s="24"/>
      <c r="D16" s="12" t="n">
        <f aca="false">SUMIFS($B$5:B16,$C$5:C16,"x")</f>
        <v>21</v>
      </c>
    </row>
    <row r="17" customFormat="false" ht="15" hidden="false" customHeight="false" outlineLevel="0" collapsed="false">
      <c r="A17" s="11" t="n">
        <v>13</v>
      </c>
      <c r="B17" s="12" t="n">
        <f aca="false">A17*$G$5</f>
        <v>13</v>
      </c>
      <c r="C17" s="24"/>
      <c r="D17" s="12" t="n">
        <f aca="false">SUMIFS($B$5:B17,$C$5:C17,"x")</f>
        <v>21</v>
      </c>
    </row>
    <row r="18" customFormat="false" ht="15" hidden="false" customHeight="false" outlineLevel="0" collapsed="false">
      <c r="A18" s="11" t="n">
        <v>14</v>
      </c>
      <c r="B18" s="12" t="n">
        <f aca="false">A18*$G$5</f>
        <v>14</v>
      </c>
      <c r="C18" s="24"/>
      <c r="D18" s="12" t="n">
        <f aca="false">SUMIFS($B$5:B18,$C$5:C18,"x")</f>
        <v>21</v>
      </c>
    </row>
    <row r="19" customFormat="false" ht="15" hidden="false" customHeight="false" outlineLevel="0" collapsed="false">
      <c r="A19" s="11" t="n">
        <v>15</v>
      </c>
      <c r="B19" s="12" t="n">
        <f aca="false">A19*$G$5</f>
        <v>15</v>
      </c>
      <c r="C19" s="24"/>
      <c r="D19" s="12" t="n">
        <f aca="false">SUMIFS($B$5:B19,$C$5:C19,"x")</f>
        <v>21</v>
      </c>
    </row>
    <row r="20" customFormat="false" ht="15" hidden="false" customHeight="false" outlineLevel="0" collapsed="false">
      <c r="A20" s="11" t="n">
        <v>16</v>
      </c>
      <c r="B20" s="12" t="n">
        <f aca="false">A20*$G$5</f>
        <v>16</v>
      </c>
      <c r="C20" s="24"/>
      <c r="D20" s="12" t="n">
        <f aca="false">SUMIFS($B$5:B20,$C$5:C20,"x")</f>
        <v>21</v>
      </c>
    </row>
    <row r="21" customFormat="false" ht="15" hidden="false" customHeight="false" outlineLevel="0" collapsed="false">
      <c r="A21" s="11" t="n">
        <v>17</v>
      </c>
      <c r="B21" s="12" t="n">
        <f aca="false">A21*$G$5</f>
        <v>17</v>
      </c>
      <c r="C21" s="24"/>
      <c r="D21" s="12" t="n">
        <f aca="false">SUMIFS($B$5:B21,$C$5:C21,"x")</f>
        <v>21</v>
      </c>
    </row>
    <row r="22" customFormat="false" ht="15" hidden="false" customHeight="false" outlineLevel="0" collapsed="false">
      <c r="A22" s="11" t="n">
        <v>18</v>
      </c>
      <c r="B22" s="12" t="n">
        <f aca="false">A22*$G$5</f>
        <v>18</v>
      </c>
      <c r="C22" s="24"/>
      <c r="D22" s="12" t="n">
        <f aca="false">SUMIFS($B$5:B22,$C$5:C22,"x")</f>
        <v>21</v>
      </c>
    </row>
    <row r="23" customFormat="false" ht="15" hidden="false" customHeight="false" outlineLevel="0" collapsed="false">
      <c r="A23" s="11" t="n">
        <v>19</v>
      </c>
      <c r="B23" s="12" t="n">
        <f aca="false">A23*$G$5</f>
        <v>19</v>
      </c>
      <c r="C23" s="24"/>
      <c r="D23" s="12" t="n">
        <f aca="false">SUMIFS($B$5:B23,$C$5:C23,"x")</f>
        <v>21</v>
      </c>
    </row>
    <row r="24" customFormat="false" ht="15" hidden="false" customHeight="false" outlineLevel="0" collapsed="false">
      <c r="A24" s="11" t="n">
        <v>20</v>
      </c>
      <c r="B24" s="12" t="n">
        <f aca="false">A24*$G$5</f>
        <v>20</v>
      </c>
      <c r="C24" s="24"/>
      <c r="D24" s="12" t="n">
        <f aca="false">SUMIFS($B$5:B24,$C$5:C24,"x")</f>
        <v>21</v>
      </c>
    </row>
    <row r="25" customFormat="false" ht="15" hidden="false" customHeight="false" outlineLevel="0" collapsed="false">
      <c r="A25" s="11" t="n">
        <v>21</v>
      </c>
      <c r="B25" s="12" t="n">
        <f aca="false">A25*$G$5</f>
        <v>21</v>
      </c>
      <c r="C25" s="24"/>
      <c r="D25" s="12" t="n">
        <f aca="false">SUMIFS($B$5:B25,$C$5:C25,"x")</f>
        <v>21</v>
      </c>
    </row>
    <row r="26" customFormat="false" ht="15" hidden="false" customHeight="false" outlineLevel="0" collapsed="false">
      <c r="A26" s="11" t="n">
        <v>22</v>
      </c>
      <c r="B26" s="12" t="n">
        <f aca="false">A26*$G$5</f>
        <v>22</v>
      </c>
      <c r="C26" s="24"/>
      <c r="D26" s="12" t="n">
        <f aca="false">SUMIFS($B$5:B26,$C$5:C26,"x")</f>
        <v>21</v>
      </c>
    </row>
    <row r="27" customFormat="false" ht="15" hidden="false" customHeight="false" outlineLevel="0" collapsed="false">
      <c r="A27" s="11" t="n">
        <v>23</v>
      </c>
      <c r="B27" s="12" t="n">
        <f aca="false">A27*$G$5</f>
        <v>23</v>
      </c>
      <c r="C27" s="24"/>
      <c r="D27" s="12" t="n">
        <f aca="false">SUMIFS($B$5:B27,$C$5:C27,"x")</f>
        <v>21</v>
      </c>
    </row>
    <row r="28" customFormat="false" ht="15" hidden="false" customHeight="false" outlineLevel="0" collapsed="false">
      <c r="A28" s="11" t="n">
        <v>24</v>
      </c>
      <c r="B28" s="12" t="n">
        <f aca="false">A28*$G$5</f>
        <v>24</v>
      </c>
      <c r="C28" s="24"/>
      <c r="D28" s="12" t="n">
        <f aca="false">SUMIFS($B$5:B28,$C$5:C28,"x")</f>
        <v>21</v>
      </c>
    </row>
    <row r="29" customFormat="false" ht="15" hidden="false" customHeight="false" outlineLevel="0" collapsed="false">
      <c r="A29" s="11" t="n">
        <v>25</v>
      </c>
      <c r="B29" s="12" t="n">
        <f aca="false">A29*$G$5</f>
        <v>25</v>
      </c>
      <c r="C29" s="24"/>
      <c r="D29" s="12" t="n">
        <f aca="false">SUMIFS($B$5:B29,$C$5:C29,"x")</f>
        <v>21</v>
      </c>
    </row>
    <row r="30" customFormat="false" ht="15" hidden="false" customHeight="false" outlineLevel="0" collapsed="false">
      <c r="A30" s="11" t="n">
        <v>26</v>
      </c>
      <c r="B30" s="12" t="n">
        <f aca="false">A30*$G$5</f>
        <v>26</v>
      </c>
      <c r="C30" s="24"/>
      <c r="D30" s="12" t="n">
        <f aca="false">SUMIFS($B$5:B30,$C$5:C30,"x")</f>
        <v>21</v>
      </c>
    </row>
    <row r="31" customFormat="false" ht="15" hidden="false" customHeight="false" outlineLevel="0" collapsed="false">
      <c r="A31" s="11" t="n">
        <v>27</v>
      </c>
      <c r="B31" s="12" t="n">
        <f aca="false">A31*$G$5</f>
        <v>27</v>
      </c>
      <c r="C31" s="24"/>
      <c r="D31" s="12" t="n">
        <f aca="false">SUMIFS($B$5:B31,$C$5:C31,"x")</f>
        <v>21</v>
      </c>
    </row>
    <row r="32" customFormat="false" ht="15" hidden="false" customHeight="false" outlineLevel="0" collapsed="false">
      <c r="A32" s="11" t="n">
        <v>28</v>
      </c>
      <c r="B32" s="12" t="n">
        <f aca="false">A32*$G$5</f>
        <v>28</v>
      </c>
      <c r="C32" s="24"/>
      <c r="D32" s="12" t="n">
        <f aca="false">SUMIFS($B$5:B32,$C$5:C32,"x")</f>
        <v>21</v>
      </c>
    </row>
    <row r="33" customFormat="false" ht="15" hidden="false" customHeight="false" outlineLevel="0" collapsed="false">
      <c r="A33" s="11" t="n">
        <v>29</v>
      </c>
      <c r="B33" s="12" t="n">
        <f aca="false">A33*$G$5</f>
        <v>29</v>
      </c>
      <c r="C33" s="24"/>
      <c r="D33" s="12" t="n">
        <f aca="false">SUMIFS($B$5:B33,$C$5:C33,"x")</f>
        <v>21</v>
      </c>
    </row>
    <row r="34" customFormat="false" ht="15" hidden="false" customHeight="false" outlineLevel="0" collapsed="false">
      <c r="A34" s="11" t="n">
        <v>30</v>
      </c>
      <c r="B34" s="12" t="n">
        <f aca="false">A34*$G$5</f>
        <v>30</v>
      </c>
      <c r="C34" s="24"/>
      <c r="D34" s="12" t="n">
        <f aca="false">SUMIFS($B$5:B34,$C$5:C34,"x")</f>
        <v>21</v>
      </c>
    </row>
    <row r="35" customFormat="false" ht="15" hidden="false" customHeight="false" outlineLevel="0" collapsed="false">
      <c r="A35" s="11" t="n">
        <v>31</v>
      </c>
      <c r="B35" s="12" t="n">
        <f aca="false">A35*$G$5</f>
        <v>31</v>
      </c>
      <c r="C35" s="24"/>
      <c r="D35" s="12" t="n">
        <f aca="false">SUMIFS($B$5:B35,$C$5:C35,"x")</f>
        <v>21</v>
      </c>
    </row>
    <row r="36" customFormat="false" ht="15" hidden="false" customHeight="false" outlineLevel="0" collapsed="false">
      <c r="A36" s="11" t="n">
        <v>32</v>
      </c>
      <c r="B36" s="12" t="n">
        <f aca="false">A36*$G$5</f>
        <v>32</v>
      </c>
      <c r="C36" s="24"/>
      <c r="D36" s="12" t="n">
        <f aca="false">SUMIFS($B$5:B36,$C$5:C36,"x")</f>
        <v>21</v>
      </c>
    </row>
    <row r="37" customFormat="false" ht="15" hidden="false" customHeight="false" outlineLevel="0" collapsed="false">
      <c r="A37" s="11" t="n">
        <v>33</v>
      </c>
      <c r="B37" s="12" t="n">
        <f aca="false">A37*$G$5</f>
        <v>33</v>
      </c>
      <c r="C37" s="24"/>
      <c r="D37" s="12" t="n">
        <f aca="false">SUMIFS($B$5:B37,$C$5:C37,"x")</f>
        <v>21</v>
      </c>
    </row>
    <row r="38" customFormat="false" ht="15" hidden="false" customHeight="false" outlineLevel="0" collapsed="false">
      <c r="A38" s="11" t="n">
        <v>34</v>
      </c>
      <c r="B38" s="12" t="n">
        <f aca="false">A38*$G$5</f>
        <v>34</v>
      </c>
      <c r="C38" s="24"/>
      <c r="D38" s="12" t="n">
        <f aca="false">SUMIFS($B$5:B38,$C$5:C38,"x")</f>
        <v>21</v>
      </c>
    </row>
    <row r="39" customFormat="false" ht="15" hidden="false" customHeight="false" outlineLevel="0" collapsed="false">
      <c r="A39" s="11" t="n">
        <v>35</v>
      </c>
      <c r="B39" s="12" t="n">
        <f aca="false">A39*$G$5</f>
        <v>35</v>
      </c>
      <c r="C39" s="24"/>
      <c r="D39" s="12" t="n">
        <f aca="false">SUMIFS($B$5:B39,$C$5:C39,"x")</f>
        <v>21</v>
      </c>
    </row>
    <row r="40" customFormat="false" ht="15" hidden="false" customHeight="false" outlineLevel="0" collapsed="false">
      <c r="A40" s="11" t="n">
        <v>36</v>
      </c>
      <c r="B40" s="12" t="n">
        <f aca="false">A40*$G$5</f>
        <v>36</v>
      </c>
      <c r="C40" s="24"/>
      <c r="D40" s="12" t="n">
        <f aca="false">SUMIFS($B$5:B40,$C$5:C40,"x")</f>
        <v>21</v>
      </c>
    </row>
    <row r="41" customFormat="false" ht="15" hidden="false" customHeight="false" outlineLevel="0" collapsed="false">
      <c r="A41" s="11" t="n">
        <v>37</v>
      </c>
      <c r="B41" s="12" t="n">
        <f aca="false">A41*$G$5</f>
        <v>37</v>
      </c>
      <c r="C41" s="24"/>
      <c r="D41" s="12" t="n">
        <f aca="false">SUMIFS($B$5:B41,$C$5:C41,"x")</f>
        <v>21</v>
      </c>
    </row>
    <row r="42" customFormat="false" ht="15" hidden="false" customHeight="false" outlineLevel="0" collapsed="false">
      <c r="A42" s="11" t="n">
        <v>38</v>
      </c>
      <c r="B42" s="12" t="n">
        <f aca="false">A42*$G$5</f>
        <v>38</v>
      </c>
      <c r="C42" s="24"/>
      <c r="D42" s="12" t="n">
        <f aca="false">SUMIFS($B$5:B42,$C$5:C42,"x")</f>
        <v>21</v>
      </c>
    </row>
    <row r="43" customFormat="false" ht="15" hidden="false" customHeight="false" outlineLevel="0" collapsed="false">
      <c r="A43" s="11" t="n">
        <v>39</v>
      </c>
      <c r="B43" s="12" t="n">
        <f aca="false">A43*$G$5</f>
        <v>39</v>
      </c>
      <c r="C43" s="24"/>
      <c r="D43" s="12" t="n">
        <f aca="false">SUMIFS($B$5:B43,$C$5:C43,"x")</f>
        <v>21</v>
      </c>
    </row>
    <row r="44" customFormat="false" ht="15" hidden="false" customHeight="false" outlineLevel="0" collapsed="false">
      <c r="A44" s="11" t="n">
        <v>40</v>
      </c>
      <c r="B44" s="12" t="n">
        <f aca="false">A44*$G$5</f>
        <v>40</v>
      </c>
      <c r="C44" s="24"/>
      <c r="D44" s="12" t="n">
        <f aca="false">SUMIFS($B$5:B44,$C$5:C44,"x")</f>
        <v>21</v>
      </c>
    </row>
    <row r="45" customFormat="false" ht="15" hidden="false" customHeight="false" outlineLevel="0" collapsed="false">
      <c r="A45" s="11" t="n">
        <v>41</v>
      </c>
      <c r="B45" s="12" t="n">
        <f aca="false">A45*$G$5</f>
        <v>41</v>
      </c>
      <c r="C45" s="24"/>
      <c r="D45" s="12" t="n">
        <f aca="false">SUMIFS($B$5:B45,$C$5:C45,"x")</f>
        <v>21</v>
      </c>
    </row>
    <row r="46" customFormat="false" ht="15" hidden="false" customHeight="false" outlineLevel="0" collapsed="false">
      <c r="A46" s="11" t="n">
        <v>42</v>
      </c>
      <c r="B46" s="12" t="n">
        <f aca="false">A46*$G$5</f>
        <v>42</v>
      </c>
      <c r="C46" s="24"/>
      <c r="D46" s="12" t="n">
        <f aca="false">SUMIFS($B$5:B46,$C$5:C46,"x")</f>
        <v>21</v>
      </c>
    </row>
    <row r="47" customFormat="false" ht="15" hidden="false" customHeight="false" outlineLevel="0" collapsed="false">
      <c r="A47" s="11" t="n">
        <v>43</v>
      </c>
      <c r="B47" s="12" t="n">
        <f aca="false">A47*$G$5</f>
        <v>43</v>
      </c>
      <c r="C47" s="24"/>
      <c r="D47" s="12" t="n">
        <f aca="false">SUMIFS($B$5:B47,$C$5:C47,"x")</f>
        <v>21</v>
      </c>
    </row>
    <row r="48" customFormat="false" ht="15" hidden="false" customHeight="false" outlineLevel="0" collapsed="false">
      <c r="A48" s="11" t="n">
        <v>44</v>
      </c>
      <c r="B48" s="12" t="n">
        <f aca="false">A48*$G$5</f>
        <v>44</v>
      </c>
      <c r="C48" s="24"/>
      <c r="D48" s="12" t="n">
        <f aca="false">SUMIFS($B$5:B48,$C$5:C48,"x")</f>
        <v>21</v>
      </c>
    </row>
    <row r="49" customFormat="false" ht="15" hidden="false" customHeight="false" outlineLevel="0" collapsed="false">
      <c r="A49" s="11" t="n">
        <v>45</v>
      </c>
      <c r="B49" s="12" t="n">
        <f aca="false">A49*$G$5</f>
        <v>45</v>
      </c>
      <c r="C49" s="24"/>
      <c r="D49" s="12" t="n">
        <f aca="false">SUMIFS($B$5:B49,$C$5:C49,"x")</f>
        <v>21</v>
      </c>
    </row>
    <row r="50" customFormat="false" ht="15" hidden="false" customHeight="false" outlineLevel="0" collapsed="false">
      <c r="A50" s="11" t="n">
        <v>46</v>
      </c>
      <c r="B50" s="12" t="n">
        <f aca="false">A50*$G$5</f>
        <v>46</v>
      </c>
      <c r="C50" s="24"/>
      <c r="D50" s="12" t="n">
        <f aca="false">SUMIFS($B$5:B50,$C$5:C50,"x")</f>
        <v>21</v>
      </c>
    </row>
    <row r="51" customFormat="false" ht="15" hidden="false" customHeight="false" outlineLevel="0" collapsed="false">
      <c r="A51" s="11" t="n">
        <v>47</v>
      </c>
      <c r="B51" s="12" t="n">
        <f aca="false">A51*$G$5</f>
        <v>47</v>
      </c>
      <c r="C51" s="24"/>
      <c r="D51" s="12" t="n">
        <f aca="false">SUMIFS($B$5:B51,$C$5:C51,"x")</f>
        <v>21</v>
      </c>
    </row>
    <row r="52" customFormat="false" ht="15" hidden="false" customHeight="false" outlineLevel="0" collapsed="false">
      <c r="A52" s="11" t="n">
        <v>48</v>
      </c>
      <c r="B52" s="12" t="n">
        <f aca="false">A52*$G$5</f>
        <v>48</v>
      </c>
      <c r="C52" s="24"/>
      <c r="D52" s="12" t="n">
        <f aca="false">SUMIFS($B$5:B52,$C$5:C52,"x")</f>
        <v>21</v>
      </c>
    </row>
    <row r="53" customFormat="false" ht="15" hidden="false" customHeight="false" outlineLevel="0" collapsed="false">
      <c r="A53" s="11" t="n">
        <v>49</v>
      </c>
      <c r="B53" s="12" t="n">
        <f aca="false">A53*$G$5</f>
        <v>49</v>
      </c>
      <c r="C53" s="24"/>
      <c r="D53" s="12" t="n">
        <f aca="false">SUMIFS($B$5:B53,$C$5:C53,"x")</f>
        <v>21</v>
      </c>
    </row>
    <row r="54" customFormat="false" ht="15" hidden="false" customHeight="false" outlineLevel="0" collapsed="false">
      <c r="A54" s="11" t="n">
        <v>50</v>
      </c>
      <c r="B54" s="12" t="n">
        <f aca="false">A54*$G$5</f>
        <v>50</v>
      </c>
      <c r="C54" s="24"/>
      <c r="D54" s="12" t="n">
        <f aca="false">SUMIFS($B$5:B54,$C$5:C54,"x")</f>
        <v>21</v>
      </c>
    </row>
    <row r="55" customFormat="false" ht="15" hidden="false" customHeight="false" outlineLevel="0" collapsed="false">
      <c r="A55" s="11" t="n">
        <v>51</v>
      </c>
      <c r="B55" s="12" t="n">
        <f aca="false">A55*$G$5</f>
        <v>51</v>
      </c>
      <c r="C55" s="24"/>
      <c r="D55" s="12" t="n">
        <f aca="false">SUMIFS($B$5:B55,$C$5:C55,"x")</f>
        <v>21</v>
      </c>
    </row>
    <row r="56" customFormat="false" ht="15" hidden="false" customHeight="false" outlineLevel="0" collapsed="false">
      <c r="A56" s="11" t="n">
        <v>52</v>
      </c>
      <c r="B56" s="12" t="n">
        <f aca="false">A56*$G$5</f>
        <v>52</v>
      </c>
      <c r="C56" s="24"/>
      <c r="D56" s="12" t="n">
        <f aca="false">SUMIFS($B$5:B56,$C$5:C56,"x")</f>
        <v>21</v>
      </c>
    </row>
  </sheetData>
  <conditionalFormatting sqref="A5:D56">
    <cfRule type="expression" priority="2" aboveAverage="0" equalAverage="0" bottom="0" percent="0" rank="0" text="" dxfId="1">
      <formula>$C5="x"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2026-10-06T21:55:21Z</dcterms:created>
  <dc:creator>openpyxl</dc:creator>
  <dc:description/>
  <dc:language>en-US</dc:language>
  <cp:lastModifiedBy/>
  <dcterms:modified xsi:type="dcterms:W3CDTF">2026-10-06T21:55:23Z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